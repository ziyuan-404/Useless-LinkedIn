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b114e429e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1bdd7e1aaa64788"/>
    <x:sheet xmlns:r="http://schemas.openxmlformats.org/officeDocument/2006/relationships" name="YYYY-MM-DD" sheetId="2" r:id="Re3c5adc03a04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sz val="10"/>
      <x:color rgb="FF1F1F1F"/>
      <x:name val="Arial"/>
    </x:font>
    <x:font>
      <x:i/>
      <x:sz val="9"/>
      <x:color rgb="FF666666"/>
      <x:name val="Arial"/>
    </x:font>
    <x:font>
      <x:sz val="9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8497B0"/>
      </x:patternFill>
    </x:fill>
    <x:fill>
      <x:patternFill patternType="solid">
        <x:fgColor rgb="FFEAF3F8"/>
      </x:patternFill>
    </x:fill>
  </x:fills>
  <x:borders count="3">
    <x:border/>
    <x:border>
      <x:bottom style="thin">
        <x:color rgb="FFB4C6E7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cd9008fc544d4" /><Relationship Type="http://schemas.openxmlformats.org/officeDocument/2006/relationships/theme" Target="/xl/theme/theme1.xml" Id="R99098873f3434fbe" /><Relationship Type="http://schemas.openxmlformats.org/officeDocument/2006/relationships/sharedStrings" Target="/xl/sharedStrings.xml" Id="Rd0cbe7de3c06465b" /><Relationship Type="http://schemas.openxmlformats.org/officeDocument/2006/relationships/worksheet" Target="/xl/worksheets/sheet1.xml" Id="Ra1bdd7e1aaa64788" /><Relationship Type="http://schemas.openxmlformats.org/officeDocument/2006/relationships/worksheet" Target="/xl/worksheets/sheet2.xml" Id="Re3c5adc03a04484d" /></Relationships>
</file>

<file path=xl/tables/table1.xml><?xml version="1.0" encoding="utf-8"?>
<x:table xmlns:x="http://schemas.openxmlformats.org/spreadsheetml/2006/main" id="1" name="ApplicationRecords" displayName="ApplicationRecords" ref="A5:Z205" headerRowCount="1" totalsRowCount="0" totalsRowShown="0">
  <x:tableColumns count="26">
    <x:tableColumn id="1" name="记录 ID"/>
    <x:tableColumn id="2" name="日期"/>
    <x:tableColumn id="3" name="公司名称"/>
    <x:tableColumn id="4" name="申请职位"/>
    <x:tableColumn id="5" name="匹配度"/>
    <x:tableColumn id="6" name="优先级 1–5"/>
    <x:tableColumn id="7" name="完整 JD"/>
    <x:tableColumn id="8" name="投递模式"/>
    <x:tableColumn id="9" name="使用简历"/>
    <x:tableColumn id="10" name="动机信"/>
    <x:tableColumn id="11" name="已投递"/>
    <x:tableColumn id="12" name="等待面试"/>
    <x:tableColumn id="13" name="等待结果"/>
    <x:tableColumn id="14" name="执行状态"/>
    <x:tableColumn id="15" name="岗位链接"/>
    <x:tableColumn id="16" name="招聘编号"/>
    <x:tableColumn id="17" name="岗位有效性"/>
    <x:tableColumn id="18" name="重复状态"/>
    <x:tableColumn id="19" name="Knock-out"/>
    <x:tableColumn id="20" name="投递渠道"/>
    <x:tableColumn id="21" name="下一步"/>
    <x:tableColumn id="22" name="跟进日期"/>
    <x:tableColumn id="23" name="最近联系"/>
    <x:tableColumn id="24" name="结果阶段"/>
    <x:tableColumn id="25" name="卡点/结果"/>
    <x:tableColumn id="26" name="状态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98e59b32d4b6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4" hidden="0" customWidth="1"/>
    <x:col min="4" max="4" width="30" hidden="0" customWidth="1"/>
    <x:col min="5" max="5" width="3" hidden="0" customWidth="1"/>
    <x:col min="6" max="6" width="16" hidden="0" customWidth="1"/>
    <x:col min="7" max="7" width="10" hidden="0" customWidth="1"/>
    <x:col min="8" max="8" width="34" hidden="0" customWidth="1"/>
    <x:col min="9" max="9" width="28" hidden="0" customWidth="1"/>
    <x:col min="10" max="10" width="3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</x:row>
    <x:row r="2">
      <x:c r="A2" s="24" t="str">
        <x:v>求职投递 Dashboard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 ht="25" customHeight="1">
      <x:c r="A5" s="6" t="str">
        <x:v>总岗位</x:v>
      </x:c>
      <x:c r="B5" s="6"/>
      <x:c r="C5" s="6" t="str">
        <x:v>已投递</x:v>
      </x:c>
      <x:c r="D5" s="6"/>
      <x:c r="E5" s="6" t="str">
        <x:v>等待面试</x:v>
      </x:c>
      <x:c r="F5" s="6"/>
      <x:c r="G5" s="6" t="str">
        <x:v>等待结果</x:v>
      </x:c>
      <x:c r="H5" s="6"/>
      <x:c r="I5" s="6" t="str">
        <x:v>KO 通过</x:v>
      </x:c>
      <x:c r="J5" s="23"/>
    </x:row>
    <x:row r="6" ht="25" customHeight="1">
      <x:c r="A6" s="10" t="n">
        <x:f>COUNTA('YYYY-MM-DD'!C6:C205)</x:f>
        <x:v>0</x:v>
      </x:c>
      <x:c r="B6" s="10"/>
      <x:c r="C6" s="10" t="n">
        <x:f>COUNTIF('YYYY-MM-DD'!K6:K205,"☑")</x:f>
        <x:v>0</x:v>
      </x:c>
      <x:c r="D6" s="10"/>
      <x:c r="E6" s="10" t="n">
        <x:f>COUNTIF('YYYY-MM-DD'!L6:L205,"☑")</x:f>
        <x:v>0</x:v>
      </x:c>
      <x:c r="F6" s="10"/>
      <x:c r="G6" s="10" t="n">
        <x:f>COUNTIF('YYYY-MM-DD'!M6:M205,"☑")</x:f>
        <x:v>0</x:v>
      </x:c>
      <x:c r="H6" s="10"/>
      <x:c r="I6" s="10" t="n">
        <x:f>COUNTIF('YYYY-MM-DD'!S6:S205,"PASS")</x:f>
        <x:v>0</x:v>
      </x:c>
      <x:c r="J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</x:row>
    <x:row r="8" ht="22" customHeight="1">
      <x:c r="A8" s="15" t="str">
        <x:v>投递漏斗</x:v>
      </x:c>
      <x:c r="B8" s="15" t="str">
        <x:v>数量</x:v>
      </x:c>
      <x:c r="C8" s="15" t="str">
        <x:v>阶段转化率</x:v>
      </x:c>
      <x:c r="D8" s="15" t="str">
        <x:v>口径</x:v>
      </x:c>
      <x:c r="E8" s="23"/>
      <x:c r="F8" s="15" t="str">
        <x:v>需要处理</x:v>
      </x:c>
      <x:c r="G8" s="15" t="str">
        <x:v>数量</x:v>
      </x:c>
      <x:c r="H8" s="15" t="str">
        <x:v>说明</x:v>
      </x:c>
      <x:c r="I8" s="15" t="str">
        <x:v>动作</x:v>
      </x:c>
      <x:c r="J8" s="23"/>
    </x:row>
    <x:row r="9" ht="22" customHeight="1">
      <x:c r="A9" s="26" t="str">
        <x:v>已评估</x:v>
      </x:c>
      <x:c r="B9" s="26" t="n">
        <x:f>COUNTA('YYYY-MM-DD'!C6:C205)</x:f>
        <x:v>0</x:v>
      </x:c>
      <x:c r="C9" s="26"/>
      <x:c r="D9" s="26" t="str">
        <x:v>已登记且包含公司名称</x:v>
      </x:c>
      <x:c r="E9" s="23"/>
      <x:c r="F9" s="26" t="str">
        <x:v>待用户</x:v>
      </x:c>
      <x:c r="G9" s="26" t="n">
        <x:f>COUNTIF('YYYY-MM-DD'!N6:N205,"待用户")</x:f>
        <x:v>0</x:v>
      </x:c>
      <x:c r="H9" s="26" t="str">
        <x:v>需要本人提供事实、登录或处理验证</x:v>
      </x:c>
      <x:c r="I9" s="26" t="str">
        <x:v>查看当天工作表</x:v>
      </x:c>
      <x:c r="J9" s="23"/>
    </x:row>
    <x:row r="10" ht="22" customHeight="1">
      <x:c r="A10" s="26" t="str">
        <x:v>KO 通过</x:v>
      </x:c>
      <x:c r="B10" s="26" t="n">
        <x:f>COUNTIF('YYYY-MM-DD'!S6:S205,"PASS")</x:f>
        <x:v>0</x:v>
      </x:c>
      <x:c r="C10" s="27" t="str">
        <x:f>IF(B9=0,"",B10/B9)</x:f>
      </x:c>
      <x:c r="D10" s="26" t="str">
        <x:v>Knock-out = PASS</x:v>
      </x:c>
      <x:c r="E10" s="23"/>
      <x:c r="F10" s="26" t="str">
        <x:v>受阻</x:v>
      </x:c>
      <x:c r="G10" s="26" t="n">
        <x:f>COUNTIF('YYYY-MM-DD'!N6:N205,"受阻")</x:f>
        <x:v>0</x:v>
      </x:c>
      <x:c r="H10" s="26" t="str">
        <x:v>网站或流程无法安全继续</x:v>
      </x:c>
      <x:c r="I10" s="26" t="str">
        <x:v>查看卡点/结果</x:v>
      </x:c>
      <x:c r="J10" s="23"/>
    </x:row>
    <x:row r="11" ht="22" customHeight="1">
      <x:c r="A11" s="26" t="str">
        <x:v>材料完成</x:v>
      </x:c>
      <x:c r="B11" s="26" t="n">
        <x:f>COUNTIF('YYYY-MM-DD'!N6:N205,"材料已准备")</x:f>
        <x:v>0</x:v>
      </x:c>
      <x:c r="C11" s="27" t="str">
        <x:f>IF(B10=0,"",B11/B10)</x:f>
      </x:c>
      <x:c r="D11" s="26" t="str">
        <x:v>执行状态 = 材料已准备</x:v>
      </x:c>
      <x:c r="E11" s="23"/>
      <x:c r="F11" s="26" t="str">
        <x:v>状态冲突</x:v>
      </x:c>
      <x:c r="G11" s="26" t="n">
        <x:f>COUNTIF('YYYY-MM-DD'!Z6:Z205,"状态冲突")</x:f>
        <x:v>0</x:v>
      </x:c>
      <x:c r="H11" s="26" t="str">
        <x:v>三个阶段栏同时勾选多项</x:v>
      </x:c>
      <x:c r="I11" s="26" t="str">
        <x:v>仅保留当前阶段</x:v>
      </x:c>
      <x:c r="J11" s="23"/>
    </x:row>
    <x:row r="12" ht="22" customHeight="1">
      <x:c r="A12" s="26" t="str">
        <x:v>已投递</x:v>
      </x:c>
      <x:c r="B12" s="26" t="n">
        <x:f>COUNTIF('YYYY-MM-DD'!K6:K205,"☑")</x:f>
        <x:v>0</x:v>
      </x:c>
      <x:c r="C12" s="27" t="str">
        <x:f>IF(B11=0,"",B12/B11)</x:f>
      </x:c>
      <x:c r="D12" s="26" t="str">
        <x:v>有明确成功证据</x:v>
      </x:c>
      <x:c r="E12" s="23"/>
      <x:c r="F12" s="26" t="str">
        <x:v>岗位失效</x:v>
      </x:c>
      <x:c r="G12" s="26" t="n">
        <x:f>COUNTIF('YYYY-MM-DD'!Q6:Q205,"失效")</x:f>
        <x:v>0</x:v>
      </x:c>
      <x:c r="H12" s="26" t="str">
        <x:v>原始页面已关闭或不存在</x:v>
      </x:c>
      <x:c r="I12" s="26" t="str">
        <x:v>停止生成材料</x:v>
      </x:c>
      <x:c r="J12" s="23"/>
    </x:row>
    <x:row r="13" ht="22" customHeight="1">
      <x:c r="A13" s="26" t="str">
        <x:v>已回复</x:v>
      </x:c>
      <x:c r="B13" s="26" t="n">
        <x:f>COUNTIF('YYYY-MM-DD'!X6:X205,"已回复")</x:f>
        <x:v>0</x:v>
      </x:c>
      <x:c r="C13" s="27" t="str">
        <x:f>IF(B12=0,"",B13/B12)</x:f>
      </x:c>
      <x:c r="D13" s="26" t="str">
        <x:v>结果阶段 = 已回复</x:v>
      </x:c>
      <x:c r="E13" s="23"/>
      <x:c r="F13" s="28" t="str">
        <x:v>疑似重复</x:v>
      </x:c>
      <x:c r="G13" s="28" t="n">
        <x:f>COUNTIF('YYYY-MM-DD'!R6:R205,"疑似重复")</x:f>
        <x:v>0</x:v>
      </x:c>
      <x:c r="H13" s="28" t="str">
        <x:v>需要核实是否为同一职位</x:v>
      </x:c>
      <x:c r="I13" s="28" t="str">
        <x:v>保留来源并人工判断</x:v>
      </x:c>
      <x:c r="J13" s="23"/>
    </x:row>
    <x:row r="14" ht="22" customHeight="1">
      <x:c r="A14" s="26" t="str">
        <x:v>面试</x:v>
      </x:c>
      <x:c r="B14" s="26" t="n">
        <x:f>COUNTIF('YYYY-MM-DD'!X6:X205,"面试")</x:f>
        <x:v>0</x:v>
      </x:c>
      <x:c r="C14" s="27" t="str">
        <x:f>IF(B13=0,"",B14/B13)</x:f>
      </x:c>
      <x:c r="D14" s="26" t="str">
        <x:v>结果阶段 = 面试</x:v>
      </x:c>
      <x:c r="E14" s="23"/>
      <x:c r="F14" s="23"/>
      <x:c r="G14" s="23"/>
      <x:c r="H14" s="23"/>
      <x:c r="I14" s="23"/>
      <x:c r="J14" s="23"/>
    </x:row>
    <x:row r="15" ht="22" customHeight="1">
      <x:c r="A15" s="26" t="str">
        <x:v>Offer</x:v>
      </x:c>
      <x:c r="B15" s="26" t="n">
        <x:f>COUNTIF('YYYY-MM-DD'!X6:X205,"Offer")</x:f>
        <x:v>0</x:v>
      </x:c>
      <x:c r="C15" s="27" t="str">
        <x:f>IF(B14=0,"",B15/B14)</x:f>
      </x:c>
      <x:c r="D15" s="26" t="str">
        <x:v>结果阶段 = Offer</x:v>
      </x:c>
      <x:c r="E15" s="23"/>
      <x:c r="F15" s="22" t="str">
        <x:v>当前阶段栏</x:v>
      </x:c>
      <x:c r="G15" s="22" t="str">
        <x:v>含义</x:v>
      </x:c>
      <x:c r="H15" s="22" t="str">
        <x:v>填写方式</x:v>
      </x:c>
      <x:c r="I15" s="22" t="str">
        <x:v>成功证据</x:v>
      </x:c>
      <x:c r="J15" s="23"/>
    </x:row>
    <x:row r="16" ht="22" customHeight="1">
      <x:c r="A16" s="26" t="str">
        <x:v>拒绝</x:v>
      </x:c>
      <x:c r="B16" s="26" t="n">
        <x:f>COUNTIF('YYYY-MM-DD'!X6:X205,"拒绝")</x:f>
        <x:v>0</x:v>
      </x:c>
      <x:c r="C16" s="27" t="str">
        <x:f>IF(B12=0,"",B16/B12)</x:f>
      </x:c>
      <x:c r="D16" s="26" t="str">
        <x:v>结果阶段 = 拒绝</x:v>
      </x:c>
      <x:c r="E16" s="23"/>
      <x:c r="F16" s="26" t="str">
        <x:v>已投递</x:v>
      </x:c>
      <x:c r="G16" s="26" t="str">
        <x:v>申请已确认提交</x:v>
      </x:c>
      <x:c r="H16" s="26" t="str">
        <x:v>当前阶段勾选</x:v>
      </x:c>
      <x:c r="I16" s="26" t="str">
        <x:v>成功页、确认邮件或平台状态</x:v>
      </x:c>
      <x:c r="J16" s="23"/>
    </x:row>
    <x:row r="17" ht="22" customHeight="1">
      <x:c r="A17" s="28" t="str">
        <x:v>失效</x:v>
      </x:c>
      <x:c r="B17" s="28" t="n">
        <x:f>COUNTIF('YYYY-MM-DD'!Q6:Q205,"失效")</x:f>
        <x:v>0</x:v>
      </x:c>
      <x:c r="C17" s="28"/>
      <x:c r="D17" s="28" t="str">
        <x:v>岗位有效性 = 失效</x:v>
      </x:c>
      <x:c r="E17" s="23"/>
      <x:c r="F17" s="26" t="str">
        <x:v>等待面试</x:v>
      </x:c>
      <x:c r="G17" s="26" t="str">
        <x:v>等待面试邀请/安排</x:v>
      </x:c>
      <x:c r="H17" s="26" t="str">
        <x:v>当前阶段勾选</x:v>
      </x:c>
      <x:c r="I17" s="26" t="str">
        <x:v>招聘方确认收到申请</x:v>
      </x:c>
      <x:c r="J17" s="23"/>
    </x:row>
    <x:row r="18" ht="22" customHeight="1">
      <x:c r="A18" s="23"/>
      <x:c r="B18" s="23"/>
      <x:c r="C18" s="23"/>
      <x:c r="D18" s="23"/>
      <x:c r="E18" s="23"/>
      <x:c r="F18" s="26" t="str">
        <x:v>等待结果</x:v>
      </x:c>
      <x:c r="G18" s="26" t="str">
        <x:v>面试完成后等待结果</x:v>
      </x:c>
      <x:c r="H18" s="26" t="str">
        <x:v>当前阶段勾选</x:v>
      </x:c>
      <x:c r="I18" s="26" t="str">
        <x:v>面试已完成</x:v>
      </x:c>
      <x:c r="J18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26" hidden="0" customWidth="1"/>
    <x:col min="5" max="5" width="11" hidden="0" customWidth="1"/>
    <x:col min="6" max="6" width="12" hidden="0" customWidth="1"/>
    <x:col min="7" max="7" width="48" hidden="0" customWidth="1"/>
    <x:col min="8" max="8" width="12" hidden="0" customWidth="1"/>
    <x:col min="9" max="9" width="34" hidden="0" customWidth="1"/>
    <x:col min="10" max="10" width="34" hidden="0" customWidth="1"/>
    <x:col min="11" max="11" width="10" hidden="0" customWidth="1"/>
    <x:col min="12" max="12" width="12" hidden="0" customWidth="1"/>
    <x:col min="13" max="13" width="12" hidden="0" customWidth="1"/>
    <x:col min="14" max="14" width="18" hidden="0" customWidth="1"/>
    <x:col min="15" max="15" width="35" hidden="0" customWidth="1"/>
    <x:col min="16" max="16" width="18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4" hidden="0" customWidth="1"/>
    <x:col min="23" max="23" width="14" hidden="0" customWidth="1"/>
    <x:col min="24" max="24" width="14" hidden="0" customWidth="1"/>
    <x:col min="25" max="25" width="34" hidden="0" customWidth="1"/>
    <x:col min="26" max="26" width="14" hidden="0" customWidth="1"/>
  </x:cols>
  <x:sheetData>
    <x:row r="2" ht="22" customHeight="1">
      <x:c r="A2" s="29" t="str">
        <x:v>日期工作表（复制后将名称和标题改为 YYYY-MM-DD）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2" customHeight="1">
      <x:c r="A3" s="31" t="str">
        <x:v>先检查有效性、重复和 Knock-out，再做 A–H 与投递分流。完整 JD 保存在单元格或岗位工作目录。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5" ht="34" customHeight="1">
      <x:c r="A5" s="34" t="str">
        <x:v>记录 ID</x:v>
      </x:c>
      <x:c r="B5" s="34" t="str">
        <x:v>日期</x:v>
      </x:c>
      <x:c r="C5" s="34" t="str">
        <x:v>公司名称</x:v>
      </x:c>
      <x:c r="D5" s="34" t="str">
        <x:v>申请职位</x:v>
      </x:c>
      <x:c r="E5" s="34" t="str">
        <x:v>匹配度</x:v>
      </x:c>
      <x:c r="F5" s="34" t="str">
        <x:v>优先级 1–5</x:v>
      </x:c>
      <x:c r="G5" s="34" t="str">
        <x:v>完整 JD</x:v>
      </x:c>
      <x:c r="H5" s="34" t="str">
        <x:v>投递模式</x:v>
      </x:c>
      <x:c r="I5" s="34" t="str">
        <x:v>使用简历</x:v>
      </x:c>
      <x:c r="J5" s="34" t="str">
        <x:v>动机信</x:v>
      </x:c>
      <x:c r="K5" s="34" t="str">
        <x:v>已投递</x:v>
      </x:c>
      <x:c r="L5" s="34" t="str">
        <x:v>等待面试</x:v>
      </x:c>
      <x:c r="M5" s="34" t="str">
        <x:v>等待结果</x:v>
      </x:c>
      <x:c r="N5" s="34" t="str">
        <x:v>执行状态</x:v>
      </x:c>
      <x:c r="O5" s="34" t="str">
        <x:v>岗位链接</x:v>
      </x:c>
      <x:c r="P5" s="34" t="str">
        <x:v>招聘编号</x:v>
      </x:c>
      <x:c r="Q5" s="34" t="str">
        <x:v>岗位有效性</x:v>
      </x:c>
      <x:c r="R5" s="34" t="str">
        <x:v>重复状态</x:v>
      </x:c>
      <x:c r="S5" s="34" t="str">
        <x:v>Knock-out</x:v>
      </x:c>
      <x:c r="T5" s="34" t="str">
        <x:v>投递渠道</x:v>
      </x:c>
      <x:c r="U5" s="34" t="str">
        <x:v>下一步</x:v>
      </x:c>
      <x:c r="V5" s="34" t="str">
        <x:v>跟进日期</x:v>
      </x:c>
      <x:c r="W5" s="34" t="str">
        <x:v>最近联系</x:v>
      </x:c>
      <x:c r="X5" s="34" t="str">
        <x:v>结果阶段</x:v>
      </x:c>
      <x:c r="Y5" s="34" t="str">
        <x:v>卡点/结果</x:v>
      </x:c>
      <x:c r="Z5" s="34" t="str">
        <x:v>状态检查</x:v>
      </x:c>
    </x:row>
    <x:row r="6" ht="22" customHeight="1">
      <x:c r="A6" s="38"/>
      <x:c r="B6" s="39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9"/>
      <x:c r="W6" s="39"/>
      <x:c r="X6" s="38"/>
      <x:c r="Y6" s="38"/>
      <x:c r="Z6" s="38" t="str">
        <x:f>IF(COUNTA(K6:M6)=0,"未选择",IF(COUNTIF(K6:M6,"☑")&gt;1,"状态冲突","正常"))</x:f>
        <x:v>未选择</x:v>
      </x:c>
    </x:row>
    <x:row r="7" ht="22" customHeight="1">
      <x:c r="A7" s="36"/>
      <x:c r="B7" s="40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40"/>
      <x:c r="W7" s="40"/>
      <x:c r="X7" s="36"/>
      <x:c r="Y7" s="36"/>
      <x:c r="Z7" s="36" t="str">
        <x:f>IF(COUNTA(K7:M7)=0,"未选择",IF(COUNTIF(K7:M7,"☑")&gt;1,"状态冲突","正常"))</x:f>
        <x:v>未选择</x:v>
      </x:c>
    </x:row>
    <x:row r="8" ht="22" customHeight="1">
      <x:c r="A8" s="38"/>
      <x:c r="B8" s="39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9"/>
      <x:c r="W8" s="39"/>
      <x:c r="X8" s="38"/>
      <x:c r="Y8" s="38"/>
      <x:c r="Z8" s="38" t="str">
        <x:f>IF(COUNTA(K8:M8)=0,"未选择",IF(COUNTIF(K8:M8,"☑")&gt;1,"状态冲突","正常"))</x:f>
        <x:v>未选择</x:v>
      </x:c>
    </x:row>
    <x:row r="9" ht="22" customHeight="1">
      <x:c r="A9" s="36"/>
      <x:c r="B9" s="40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40"/>
      <x:c r="W9" s="40"/>
      <x:c r="X9" s="36"/>
      <x:c r="Y9" s="36"/>
      <x:c r="Z9" s="36" t="str">
        <x:f>IF(COUNTA(K9:M9)=0,"未选择",IF(COUNTIF(K9:M9,"☑")&gt;1,"状态冲突","正常"))</x:f>
        <x:v>未选择</x:v>
      </x:c>
    </x:row>
    <x:row r="10" ht="22" customHeight="1">
      <x:c r="A10" s="38"/>
      <x:c r="B10" s="39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9"/>
      <x:c r="W10" s="39"/>
      <x:c r="X10" s="38"/>
      <x:c r="Y10" s="38"/>
      <x:c r="Z10" s="38" t="str">
        <x:f>IF(COUNTA(K10:M10)=0,"未选择",IF(COUNTIF(K10:M10,"☑")&gt;1,"状态冲突","正常"))</x:f>
        <x:v>未选择</x:v>
      </x:c>
    </x:row>
    <x:row r="11" ht="22" customHeight="1">
      <x:c r="A11" s="36"/>
      <x:c r="B11" s="40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40"/>
      <x:c r="W11" s="40"/>
      <x:c r="X11" s="36"/>
      <x:c r="Y11" s="36"/>
      <x:c r="Z11" s="36" t="str">
        <x:f>IF(COUNTA(K11:M11)=0,"未选择",IF(COUNTIF(K11:M11,"☑")&gt;1,"状态冲突","正常"))</x:f>
        <x:v>未选择</x:v>
      </x:c>
    </x:row>
    <x:row r="12" ht="22" customHeight="1">
      <x:c r="A12" s="38"/>
      <x:c r="B12" s="39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9"/>
      <x:c r="W12" s="39"/>
      <x:c r="X12" s="38"/>
      <x:c r="Y12" s="38"/>
      <x:c r="Z12" s="38" t="str">
        <x:f>IF(COUNTA(K12:M12)=0,"未选择",IF(COUNTIF(K12:M12,"☑")&gt;1,"状态冲突","正常"))</x:f>
        <x:v>未选择</x:v>
      </x:c>
    </x:row>
    <x:row r="13" ht="22" customHeight="1">
      <x:c r="A13" s="36"/>
      <x:c r="B13" s="40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40"/>
      <x:c r="W13" s="40"/>
      <x:c r="X13" s="36"/>
      <x:c r="Y13" s="36"/>
      <x:c r="Z13" s="36" t="str">
        <x:f>IF(COUNTA(K13:M13)=0,"未选择",IF(COUNTIF(K13:M13,"☑")&gt;1,"状态冲突","正常"))</x:f>
        <x:v>未选择</x:v>
      </x:c>
    </x:row>
    <x:row r="14" ht="22" customHeight="1">
      <x:c r="A14" s="38"/>
      <x:c r="B14" s="39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9"/>
      <x:c r="W14" s="39"/>
      <x:c r="X14" s="38"/>
      <x:c r="Y14" s="38"/>
      <x:c r="Z14" s="38" t="str">
        <x:f>IF(COUNTA(K14:M14)=0,"未选择",IF(COUNTIF(K14:M14,"☑")&gt;1,"状态冲突","正常"))</x:f>
        <x:v>未选择</x:v>
      </x:c>
    </x:row>
    <x:row r="15" ht="22" customHeight="1">
      <x:c r="A15" s="36"/>
      <x:c r="B15" s="40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40"/>
      <x:c r="W15" s="40"/>
      <x:c r="X15" s="36"/>
      <x:c r="Y15" s="36"/>
      <x:c r="Z15" s="36" t="str">
        <x:f>IF(COUNTA(K15:M15)=0,"未选择",IF(COUNTIF(K15:M15,"☑")&gt;1,"状态冲突","正常"))</x:f>
        <x:v>未选择</x:v>
      </x:c>
    </x:row>
    <x:row r="16" ht="22" customHeight="1">
      <x:c r="A16" s="38"/>
      <x:c r="B16" s="39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9"/>
      <x:c r="W16" s="39"/>
      <x:c r="X16" s="38"/>
      <x:c r="Y16" s="38"/>
      <x:c r="Z16" s="38" t="str">
        <x:f>IF(COUNTA(K16:M16)=0,"未选择",IF(COUNTIF(K16:M16,"☑")&gt;1,"状态冲突","正常"))</x:f>
        <x:v>未选择</x:v>
      </x:c>
    </x:row>
    <x:row r="17" ht="22" customHeight="1">
      <x:c r="A17" s="36"/>
      <x:c r="B17" s="40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40"/>
      <x:c r="W17" s="40"/>
      <x:c r="X17" s="36"/>
      <x:c r="Y17" s="36"/>
      <x:c r="Z17" s="36" t="str">
        <x:f>IF(COUNTA(K17:M17)=0,"未选择",IF(COUNTIF(K17:M17,"☑")&gt;1,"状态冲突","正常"))</x:f>
        <x:v>未选择</x:v>
      </x:c>
    </x:row>
    <x:row r="18" ht="22" customHeight="1">
      <x:c r="A18" s="38"/>
      <x:c r="B18" s="39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9"/>
      <x:c r="W18" s="39"/>
      <x:c r="X18" s="38"/>
      <x:c r="Y18" s="38"/>
      <x:c r="Z18" s="38" t="str">
        <x:f>IF(COUNTA(K18:M18)=0,"未选择",IF(COUNTIF(K18:M18,"☑")&gt;1,"状态冲突","正常"))</x:f>
        <x:v>未选择</x:v>
      </x:c>
    </x:row>
    <x:row r="19" ht="22" customHeight="1">
      <x:c r="A19" s="36"/>
      <x:c r="B19" s="40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40"/>
      <x:c r="W19" s="40"/>
      <x:c r="X19" s="36"/>
      <x:c r="Y19" s="36"/>
      <x:c r="Z19" s="36" t="str">
        <x:f>IF(COUNTA(K19:M19)=0,"未选择",IF(COUNTIF(K19:M19,"☑")&gt;1,"状态冲突","正常"))</x:f>
        <x:v>未选择</x:v>
      </x:c>
    </x:row>
    <x:row r="20" ht="22" customHeight="1">
      <x:c r="A20" s="38"/>
      <x:c r="B20" s="39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9"/>
      <x:c r="W20" s="39"/>
      <x:c r="X20" s="38"/>
      <x:c r="Y20" s="38"/>
      <x:c r="Z20" s="38" t="str">
        <x:f>IF(COUNTA(K20:M20)=0,"未选择",IF(COUNTIF(K20:M20,"☑")&gt;1,"状态冲突","正常"))</x:f>
        <x:v>未选择</x:v>
      </x:c>
    </x:row>
    <x:row r="21" ht="22" customHeight="1">
      <x:c r="A21" s="36"/>
      <x:c r="B21" s="40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40"/>
      <x:c r="W21" s="40"/>
      <x:c r="X21" s="36"/>
      <x:c r="Y21" s="36"/>
      <x:c r="Z21" s="36" t="str">
        <x:f>IF(COUNTA(K21:M21)=0,"未选择",IF(COUNTIF(K21:M21,"☑")&gt;1,"状态冲突","正常"))</x:f>
        <x:v>未选择</x:v>
      </x:c>
    </x:row>
    <x:row r="22" ht="22" customHeight="1">
      <x:c r="A22" s="38"/>
      <x:c r="B22" s="39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9"/>
      <x:c r="W22" s="39"/>
      <x:c r="X22" s="38"/>
      <x:c r="Y22" s="38"/>
      <x:c r="Z22" s="38" t="str">
        <x:f>IF(COUNTA(K22:M22)=0,"未选择",IF(COUNTIF(K22:M22,"☑")&gt;1,"状态冲突","正常"))</x:f>
        <x:v>未选择</x:v>
      </x:c>
    </x:row>
    <x:row r="23" ht="22" customHeight="1">
      <x:c r="A23" s="36"/>
      <x:c r="B23" s="40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40"/>
      <x:c r="W23" s="40"/>
      <x:c r="X23" s="36"/>
      <x:c r="Y23" s="36"/>
      <x:c r="Z23" s="36" t="str">
        <x:f>IF(COUNTA(K23:M23)=0,"未选择",IF(COUNTIF(K23:M23,"☑")&gt;1,"状态冲突","正常"))</x:f>
        <x:v>未选择</x:v>
      </x:c>
    </x:row>
    <x:row r="24" ht="22" customHeight="1">
      <x:c r="A24" s="38"/>
      <x:c r="B24" s="39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9"/>
      <x:c r="W24" s="39"/>
      <x:c r="X24" s="38"/>
      <x:c r="Y24" s="38"/>
      <x:c r="Z24" s="38" t="str">
        <x:f>IF(COUNTA(K24:M24)=0,"未选择",IF(COUNTIF(K24:M24,"☑")&gt;1,"状态冲突","正常"))</x:f>
        <x:v>未选择</x:v>
      </x:c>
    </x:row>
    <x:row r="25" ht="22" customHeight="1">
      <x:c r="A25" s="36"/>
      <x:c r="B25" s="40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40"/>
      <x:c r="W25" s="40"/>
      <x:c r="X25" s="36"/>
      <x:c r="Y25" s="36"/>
      <x:c r="Z25" s="36" t="str">
        <x:f>IF(COUNTA(K25:M25)=0,"未选择",IF(COUNTIF(K25:M25,"☑")&gt;1,"状态冲突","正常"))</x:f>
        <x:v>未选择</x:v>
      </x:c>
    </x:row>
    <x:row r="26" ht="22" customHeight="1">
      <x:c r="A26" s="38"/>
      <x:c r="B26" s="39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9"/>
      <x:c r="W26" s="39"/>
      <x:c r="X26" s="38"/>
      <x:c r="Y26" s="38"/>
      <x:c r="Z26" s="38" t="str">
        <x:f>IF(COUNTA(K26:M26)=0,"未选择",IF(COUNTIF(K26:M26,"☑")&gt;1,"状态冲突","正常"))</x:f>
        <x:v>未选择</x:v>
      </x:c>
    </x:row>
    <x:row r="27" ht="22" customHeight="1">
      <x:c r="A27" s="36"/>
      <x:c r="B27" s="40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40"/>
      <x:c r="W27" s="40"/>
      <x:c r="X27" s="36"/>
      <x:c r="Y27" s="36"/>
      <x:c r="Z27" s="36" t="str">
        <x:f>IF(COUNTA(K27:M27)=0,"未选择",IF(COUNTIF(K27:M27,"☑")&gt;1,"状态冲突","正常"))</x:f>
        <x:v>未选择</x:v>
      </x:c>
    </x:row>
    <x:row r="28" ht="22" customHeight="1">
      <x:c r="A28" s="38"/>
      <x:c r="B28" s="39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9"/>
      <x:c r="W28" s="39"/>
      <x:c r="X28" s="38"/>
      <x:c r="Y28" s="38"/>
      <x:c r="Z28" s="38" t="str">
        <x:f>IF(COUNTA(K28:M28)=0,"未选择",IF(COUNTIF(K28:M28,"☑")&gt;1,"状态冲突","正常"))</x:f>
        <x:v>未选择</x:v>
      </x:c>
    </x:row>
    <x:row r="29" ht="22" customHeight="1">
      <x:c r="A29" s="36"/>
      <x:c r="B29" s="40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40"/>
      <x:c r="W29" s="40"/>
      <x:c r="X29" s="36"/>
      <x:c r="Y29" s="36"/>
      <x:c r="Z29" s="36" t="str">
        <x:f>IF(COUNTA(K29:M29)=0,"未选择",IF(COUNTIF(K29:M29,"☑")&gt;1,"状态冲突","正常"))</x:f>
        <x:v>未选择</x:v>
      </x:c>
    </x:row>
    <x:row r="30" ht="22" customHeight="1">
      <x:c r="A30" s="38"/>
      <x:c r="B30" s="39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9"/>
      <x:c r="W30" s="39"/>
      <x:c r="X30" s="38"/>
      <x:c r="Y30" s="38"/>
      <x:c r="Z30" s="38" t="str">
        <x:f>IF(COUNTA(K30:M30)=0,"未选择",IF(COUNTIF(K30:M30,"☑")&gt;1,"状态冲突","正常"))</x:f>
        <x:v>未选择</x:v>
      </x:c>
    </x:row>
    <x:row r="31" ht="22" customHeight="1">
      <x:c r="A31" s="36"/>
      <x:c r="B31" s="40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40"/>
      <x:c r="W31" s="40"/>
      <x:c r="X31" s="36"/>
      <x:c r="Y31" s="36"/>
      <x:c r="Z31" s="36" t="str">
        <x:f>IF(COUNTA(K31:M31)=0,"未选择",IF(COUNTIF(K31:M31,"☑")&gt;1,"状态冲突","正常"))</x:f>
        <x:v>未选择</x:v>
      </x:c>
    </x:row>
    <x:row r="32" ht="22" customHeight="1">
      <x:c r="A32" s="38"/>
      <x:c r="B32" s="39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9"/>
      <x:c r="W32" s="39"/>
      <x:c r="X32" s="38"/>
      <x:c r="Y32" s="38"/>
      <x:c r="Z32" s="38" t="str">
        <x:f>IF(COUNTA(K32:M32)=0,"未选择",IF(COUNTIF(K32:M32,"☑")&gt;1,"状态冲突","正常"))</x:f>
        <x:v>未选择</x:v>
      </x:c>
    </x:row>
    <x:row r="33" ht="22" customHeight="1">
      <x:c r="A33" s="36"/>
      <x:c r="B33" s="40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40"/>
      <x:c r="W33" s="40"/>
      <x:c r="X33" s="36"/>
      <x:c r="Y33" s="36"/>
      <x:c r="Z33" s="36" t="str">
        <x:f>IF(COUNTA(K33:M33)=0,"未选择",IF(COUNTIF(K33:M33,"☑")&gt;1,"状态冲突","正常"))</x:f>
        <x:v>未选择</x:v>
      </x:c>
    </x:row>
    <x:row r="34" ht="22" customHeight="1">
      <x:c r="A34" s="38"/>
      <x:c r="B34" s="39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9"/>
      <x:c r="W34" s="39"/>
      <x:c r="X34" s="38"/>
      <x:c r="Y34" s="38"/>
      <x:c r="Z34" s="38" t="str">
        <x:f>IF(COUNTA(K34:M34)=0,"未选择",IF(COUNTIF(K34:M34,"☑")&gt;1,"状态冲突","正常"))</x:f>
        <x:v>未选择</x:v>
      </x:c>
    </x:row>
    <x:row r="35" ht="22" customHeight="1">
      <x:c r="A35" s="36"/>
      <x:c r="B35" s="40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40"/>
      <x:c r="W35" s="40"/>
      <x:c r="X35" s="36"/>
      <x:c r="Y35" s="36"/>
      <x:c r="Z35" s="36" t="str">
        <x:f>IF(COUNTA(K35:M35)=0,"未选择",IF(COUNTIF(K35:M35,"☑")&gt;1,"状态冲突","正常"))</x:f>
        <x:v>未选择</x:v>
      </x:c>
    </x:row>
    <x:row r="36" ht="22" customHeight="1">
      <x:c r="A36" s="38"/>
      <x:c r="B36" s="39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9"/>
      <x:c r="W36" s="39"/>
      <x:c r="X36" s="38"/>
      <x:c r="Y36" s="38"/>
      <x:c r="Z36" s="38" t="str">
        <x:f>IF(COUNTA(K36:M36)=0,"未选择",IF(COUNTIF(K36:M36,"☑")&gt;1,"状态冲突","正常"))</x:f>
        <x:v>未选择</x:v>
      </x:c>
    </x:row>
    <x:row r="37" ht="22" customHeight="1">
      <x:c r="A37" s="36"/>
      <x:c r="B37" s="40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40"/>
      <x:c r="W37" s="40"/>
      <x:c r="X37" s="36"/>
      <x:c r="Y37" s="36"/>
      <x:c r="Z37" s="36" t="str">
        <x:f>IF(COUNTA(K37:M37)=0,"未选择",IF(COUNTIF(K37:M37,"☑")&gt;1,"状态冲突","正常"))</x:f>
        <x:v>未选择</x:v>
      </x:c>
    </x:row>
    <x:row r="38" ht="22" customHeight="1">
      <x:c r="A38" s="38"/>
      <x:c r="B38" s="39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9"/>
      <x:c r="W38" s="39"/>
      <x:c r="X38" s="38"/>
      <x:c r="Y38" s="38"/>
      <x:c r="Z38" s="38" t="str">
        <x:f>IF(COUNTA(K38:M38)=0,"未选择",IF(COUNTIF(K38:M38,"☑")&gt;1,"状态冲突","正常"))</x:f>
        <x:v>未选择</x:v>
      </x:c>
    </x:row>
    <x:row r="39" ht="22" customHeight="1">
      <x:c r="A39" s="36"/>
      <x:c r="B39" s="40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40"/>
      <x:c r="W39" s="40"/>
      <x:c r="X39" s="36"/>
      <x:c r="Y39" s="36"/>
      <x:c r="Z39" s="36" t="str">
        <x:f>IF(COUNTA(K39:M39)=0,"未选择",IF(COUNTIF(K39:M39,"☑")&gt;1,"状态冲突","正常"))</x:f>
        <x:v>未选择</x:v>
      </x:c>
    </x:row>
    <x:row r="40" ht="22" customHeight="1">
      <x:c r="A40" s="38"/>
      <x:c r="B40" s="39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9"/>
      <x:c r="W40" s="39"/>
      <x:c r="X40" s="38"/>
      <x:c r="Y40" s="38"/>
      <x:c r="Z40" s="38" t="str">
        <x:f>IF(COUNTA(K40:M40)=0,"未选择",IF(COUNTIF(K40:M40,"☑")&gt;1,"状态冲突","正常"))</x:f>
        <x:v>未选择</x:v>
      </x:c>
    </x:row>
    <x:row r="41" ht="22" customHeight="1">
      <x:c r="A41" s="36"/>
      <x:c r="B41" s="40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40"/>
      <x:c r="W41" s="40"/>
      <x:c r="X41" s="36"/>
      <x:c r="Y41" s="36"/>
      <x:c r="Z41" s="36" t="str">
        <x:f>IF(COUNTA(K41:M41)=0,"未选择",IF(COUNTIF(K41:M41,"☑")&gt;1,"状态冲突","正常"))</x:f>
        <x:v>未选择</x:v>
      </x:c>
    </x:row>
    <x:row r="42" ht="22" customHeight="1">
      <x:c r="A42" s="38"/>
      <x:c r="B42" s="39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9"/>
      <x:c r="W42" s="39"/>
      <x:c r="X42" s="38"/>
      <x:c r="Y42" s="38"/>
      <x:c r="Z42" s="38" t="str">
        <x:f>IF(COUNTA(K42:M42)=0,"未选择",IF(COUNTIF(K42:M42,"☑")&gt;1,"状态冲突","正常"))</x:f>
        <x:v>未选择</x:v>
      </x:c>
    </x:row>
    <x:row r="43" ht="22" customHeight="1">
      <x:c r="A43" s="36"/>
      <x:c r="B43" s="40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40"/>
      <x:c r="W43" s="40"/>
      <x:c r="X43" s="36"/>
      <x:c r="Y43" s="36"/>
      <x:c r="Z43" s="36" t="str">
        <x:f>IF(COUNTA(K43:M43)=0,"未选择",IF(COUNTIF(K43:M43,"☑")&gt;1,"状态冲突","正常"))</x:f>
        <x:v>未选择</x:v>
      </x:c>
    </x:row>
    <x:row r="44" ht="22" customHeight="1">
      <x:c r="A44" s="38"/>
      <x:c r="B44" s="39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9"/>
      <x:c r="W44" s="39"/>
      <x:c r="X44" s="38"/>
      <x:c r="Y44" s="38"/>
      <x:c r="Z44" s="38" t="str">
        <x:f>IF(COUNTA(K44:M44)=0,"未选择",IF(COUNTIF(K44:M44,"☑")&gt;1,"状态冲突","正常"))</x:f>
        <x:v>未选择</x:v>
      </x:c>
    </x:row>
    <x:row r="45" ht="22" customHeight="1">
      <x:c r="A45" s="36"/>
      <x:c r="B45" s="40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40"/>
      <x:c r="W45" s="40"/>
      <x:c r="X45" s="36"/>
      <x:c r="Y45" s="36"/>
      <x:c r="Z45" s="36" t="str">
        <x:f>IF(COUNTA(K45:M45)=0,"未选择",IF(COUNTIF(K45:M45,"☑")&gt;1,"状态冲突","正常"))</x:f>
        <x:v>未选择</x:v>
      </x:c>
    </x:row>
    <x:row r="46" ht="22" customHeight="1">
      <x:c r="A46" s="38"/>
      <x:c r="B46" s="39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9"/>
      <x:c r="W46" s="39"/>
      <x:c r="X46" s="38"/>
      <x:c r="Y46" s="38"/>
      <x:c r="Z46" s="38" t="str">
        <x:f>IF(COUNTA(K46:M46)=0,"未选择",IF(COUNTIF(K46:M46,"☑")&gt;1,"状态冲突","正常"))</x:f>
        <x:v>未选择</x:v>
      </x:c>
    </x:row>
    <x:row r="47" ht="22" customHeight="1">
      <x:c r="A47" s="36"/>
      <x:c r="B47" s="40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40"/>
      <x:c r="W47" s="40"/>
      <x:c r="X47" s="36"/>
      <x:c r="Y47" s="36"/>
      <x:c r="Z47" s="36" t="str">
        <x:f>IF(COUNTA(K47:M47)=0,"未选择",IF(COUNTIF(K47:M47,"☑")&gt;1,"状态冲突","正常"))</x:f>
        <x:v>未选择</x:v>
      </x:c>
    </x:row>
    <x:row r="48" ht="22" customHeight="1">
      <x:c r="A48" s="38"/>
      <x:c r="B48" s="39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9"/>
      <x:c r="W48" s="39"/>
      <x:c r="X48" s="38"/>
      <x:c r="Y48" s="38"/>
      <x:c r="Z48" s="38" t="str">
        <x:f>IF(COUNTA(K48:M48)=0,"未选择",IF(COUNTIF(K48:M48,"☑")&gt;1,"状态冲突","正常"))</x:f>
        <x:v>未选择</x:v>
      </x:c>
    </x:row>
    <x:row r="49" ht="22" customHeight="1">
      <x:c r="A49" s="36"/>
      <x:c r="B49" s="40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40"/>
      <x:c r="W49" s="40"/>
      <x:c r="X49" s="36"/>
      <x:c r="Y49" s="36"/>
      <x:c r="Z49" s="36" t="str">
        <x:f>IF(COUNTA(K49:M49)=0,"未选择",IF(COUNTIF(K49:M49,"☑")&gt;1,"状态冲突","正常"))</x:f>
        <x:v>未选择</x:v>
      </x:c>
    </x:row>
    <x:row r="50" ht="22" customHeight="1">
      <x:c r="A50" s="38"/>
      <x:c r="B50" s="39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9"/>
      <x:c r="W50" s="39"/>
      <x:c r="X50" s="38"/>
      <x:c r="Y50" s="38"/>
      <x:c r="Z50" s="38" t="str">
        <x:f>IF(COUNTA(K50:M50)=0,"未选择",IF(COUNTIF(K50:M50,"☑")&gt;1,"状态冲突","正常"))</x:f>
        <x:v>未选择</x:v>
      </x:c>
    </x:row>
    <x:row r="51" ht="22" customHeight="1">
      <x:c r="A51" s="36"/>
      <x:c r="B51" s="40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40"/>
      <x:c r="W51" s="40"/>
      <x:c r="X51" s="36"/>
      <x:c r="Y51" s="36"/>
      <x:c r="Z51" s="36" t="str">
        <x:f>IF(COUNTA(K51:M51)=0,"未选择",IF(COUNTIF(K51:M51,"☑")&gt;1,"状态冲突","正常"))</x:f>
        <x:v>未选择</x:v>
      </x:c>
    </x:row>
    <x:row r="52" ht="22" customHeight="1">
      <x:c r="A52" s="38"/>
      <x:c r="B52" s="39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9"/>
      <x:c r="W52" s="39"/>
      <x:c r="X52" s="38"/>
      <x:c r="Y52" s="38"/>
      <x:c r="Z52" s="38" t="str">
        <x:f>IF(COUNTA(K52:M52)=0,"未选择",IF(COUNTIF(K52:M52,"☑")&gt;1,"状态冲突","正常"))</x:f>
        <x:v>未选择</x:v>
      </x:c>
    </x:row>
    <x:row r="53" ht="22" customHeight="1">
      <x:c r="A53" s="36"/>
      <x:c r="B53" s="40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40"/>
      <x:c r="W53" s="40"/>
      <x:c r="X53" s="36"/>
      <x:c r="Y53" s="36"/>
      <x:c r="Z53" s="36" t="str">
        <x:f>IF(COUNTA(K53:M53)=0,"未选择",IF(COUNTIF(K53:M53,"☑")&gt;1,"状态冲突","正常"))</x:f>
        <x:v>未选择</x:v>
      </x:c>
    </x:row>
    <x:row r="54" ht="22" customHeight="1">
      <x:c r="A54" s="38"/>
      <x:c r="B54" s="39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9"/>
      <x:c r="W54" s="39"/>
      <x:c r="X54" s="38"/>
      <x:c r="Y54" s="38"/>
      <x:c r="Z54" s="38" t="str">
        <x:f>IF(COUNTA(K54:M54)=0,"未选择",IF(COUNTIF(K54:M54,"☑")&gt;1,"状态冲突","正常"))</x:f>
        <x:v>未选择</x:v>
      </x:c>
    </x:row>
    <x:row r="55" ht="22" customHeight="1">
      <x:c r="A55" s="36"/>
      <x:c r="B55" s="40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40"/>
      <x:c r="W55" s="40"/>
      <x:c r="X55" s="36"/>
      <x:c r="Y55" s="36"/>
      <x:c r="Z55" s="36" t="str">
        <x:f>IF(COUNTA(K55:M55)=0,"未选择",IF(COUNTIF(K55:M55,"☑")&gt;1,"状态冲突","正常"))</x:f>
        <x:v>未选择</x:v>
      </x:c>
    </x:row>
    <x:row r="56" ht="22" customHeight="1">
      <x:c r="A56" s="38"/>
      <x:c r="B56" s="39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9"/>
      <x:c r="W56" s="39"/>
      <x:c r="X56" s="38"/>
      <x:c r="Y56" s="38"/>
      <x:c r="Z56" s="38" t="str">
        <x:f>IF(COUNTA(K56:M56)=0,"未选择",IF(COUNTIF(K56:M56,"☑")&gt;1,"状态冲突","正常"))</x:f>
        <x:v>未选择</x:v>
      </x:c>
    </x:row>
    <x:row r="57" ht="22" customHeight="1">
      <x:c r="A57" s="36"/>
      <x:c r="B57" s="40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40"/>
      <x:c r="W57" s="40"/>
      <x:c r="X57" s="36"/>
      <x:c r="Y57" s="36"/>
      <x:c r="Z57" s="36" t="str">
        <x:f>IF(COUNTA(K57:M57)=0,"未选择",IF(COUNTIF(K57:M57,"☑")&gt;1,"状态冲突","正常"))</x:f>
        <x:v>未选择</x:v>
      </x:c>
    </x:row>
    <x:row r="58" ht="22" customHeight="1">
      <x:c r="A58" s="38"/>
      <x:c r="B58" s="39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9"/>
      <x:c r="W58" s="39"/>
      <x:c r="X58" s="38"/>
      <x:c r="Y58" s="38"/>
      <x:c r="Z58" s="38" t="str">
        <x:f>IF(COUNTA(K58:M58)=0,"未选择",IF(COUNTIF(K58:M58,"☑")&gt;1,"状态冲突","正常"))</x:f>
        <x:v>未选择</x:v>
      </x:c>
    </x:row>
    <x:row r="59" ht="22" customHeight="1">
      <x:c r="A59" s="36"/>
      <x:c r="B59" s="40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40"/>
      <x:c r="W59" s="40"/>
      <x:c r="X59" s="36"/>
      <x:c r="Y59" s="36"/>
      <x:c r="Z59" s="36" t="str">
        <x:f>IF(COUNTA(K59:M59)=0,"未选择",IF(COUNTIF(K59:M59,"☑")&gt;1,"状态冲突","正常"))</x:f>
        <x:v>未选择</x:v>
      </x:c>
    </x:row>
    <x:row r="60" ht="22" customHeight="1">
      <x:c r="A60" s="38"/>
      <x:c r="B60" s="39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9"/>
      <x:c r="W60" s="39"/>
      <x:c r="X60" s="38"/>
      <x:c r="Y60" s="38"/>
      <x:c r="Z60" s="38" t="str">
        <x:f>IF(COUNTA(K60:M60)=0,"未选择",IF(COUNTIF(K60:M60,"☑")&gt;1,"状态冲突","正常"))</x:f>
        <x:v>未选择</x:v>
      </x:c>
    </x:row>
    <x:row r="61" ht="22" customHeight="1">
      <x:c r="A61" s="36"/>
      <x:c r="B61" s="40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40"/>
      <x:c r="W61" s="40"/>
      <x:c r="X61" s="36"/>
      <x:c r="Y61" s="36"/>
      <x:c r="Z61" s="36" t="str">
        <x:f>IF(COUNTA(K61:M61)=0,"未选择",IF(COUNTIF(K61:M61,"☑")&gt;1,"状态冲突","正常"))</x:f>
        <x:v>未选择</x:v>
      </x:c>
    </x:row>
    <x:row r="62" ht="22" customHeight="1">
      <x:c r="A62" s="38"/>
      <x:c r="B62" s="39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9"/>
      <x:c r="W62" s="39"/>
      <x:c r="X62" s="38"/>
      <x:c r="Y62" s="38"/>
      <x:c r="Z62" s="38" t="str">
        <x:f>IF(COUNTA(K62:M62)=0,"未选择",IF(COUNTIF(K62:M62,"☑")&gt;1,"状态冲突","正常"))</x:f>
        <x:v>未选择</x:v>
      </x:c>
    </x:row>
    <x:row r="63" ht="22" customHeight="1">
      <x:c r="A63" s="36"/>
      <x:c r="B63" s="40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40"/>
      <x:c r="W63" s="40"/>
      <x:c r="X63" s="36"/>
      <x:c r="Y63" s="36"/>
      <x:c r="Z63" s="36" t="str">
        <x:f>IF(COUNTA(K63:M63)=0,"未选择",IF(COUNTIF(K63:M63,"☑")&gt;1,"状态冲突","正常"))</x:f>
        <x:v>未选择</x:v>
      </x:c>
    </x:row>
    <x:row r="64" ht="22" customHeight="1">
      <x:c r="A64" s="38"/>
      <x:c r="B64" s="39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9"/>
      <x:c r="W64" s="39"/>
      <x:c r="X64" s="38"/>
      <x:c r="Y64" s="38"/>
      <x:c r="Z64" s="38" t="str">
        <x:f>IF(COUNTA(K64:M64)=0,"未选择",IF(COUNTIF(K64:M64,"☑")&gt;1,"状态冲突","正常"))</x:f>
        <x:v>未选择</x:v>
      </x:c>
    </x:row>
    <x:row r="65" ht="22" customHeight="1">
      <x:c r="A65" s="36"/>
      <x:c r="B65" s="40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40"/>
      <x:c r="W65" s="40"/>
      <x:c r="X65" s="36"/>
      <x:c r="Y65" s="36"/>
      <x:c r="Z65" s="36" t="str">
        <x:f>IF(COUNTA(K65:M65)=0,"未选择",IF(COUNTIF(K65:M65,"☑")&gt;1,"状态冲突","正常"))</x:f>
        <x:v>未选择</x:v>
      </x:c>
    </x:row>
    <x:row r="66" ht="22" customHeight="1">
      <x:c r="A66" s="38"/>
      <x:c r="B66" s="39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9"/>
      <x:c r="W66" s="39"/>
      <x:c r="X66" s="38"/>
      <x:c r="Y66" s="38"/>
      <x:c r="Z66" s="38" t="str">
        <x:f>IF(COUNTA(K66:M66)=0,"未选择",IF(COUNTIF(K66:M66,"☑")&gt;1,"状态冲突","正常"))</x:f>
        <x:v>未选择</x:v>
      </x:c>
    </x:row>
    <x:row r="67" ht="22" customHeight="1">
      <x:c r="A67" s="36"/>
      <x:c r="B67" s="40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40"/>
      <x:c r="W67" s="40"/>
      <x:c r="X67" s="36"/>
      <x:c r="Y67" s="36"/>
      <x:c r="Z67" s="36" t="str">
        <x:f>IF(COUNTA(K67:M67)=0,"未选择",IF(COUNTIF(K67:M67,"☑")&gt;1,"状态冲突","正常"))</x:f>
        <x:v>未选择</x:v>
      </x:c>
    </x:row>
    <x:row r="68" ht="22" customHeight="1">
      <x:c r="A68" s="38"/>
      <x:c r="B68" s="39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9"/>
      <x:c r="W68" s="39"/>
      <x:c r="X68" s="38"/>
      <x:c r="Y68" s="38"/>
      <x:c r="Z68" s="38" t="str">
        <x:f>IF(COUNTA(K68:M68)=0,"未选择",IF(COUNTIF(K68:M68,"☑")&gt;1,"状态冲突","正常"))</x:f>
        <x:v>未选择</x:v>
      </x:c>
    </x:row>
    <x:row r="69" ht="22" customHeight="1">
      <x:c r="A69" s="36"/>
      <x:c r="B69" s="40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40"/>
      <x:c r="W69" s="40"/>
      <x:c r="X69" s="36"/>
      <x:c r="Y69" s="36"/>
      <x:c r="Z69" s="36" t="str">
        <x:f>IF(COUNTA(K69:M69)=0,"未选择",IF(COUNTIF(K69:M69,"☑")&gt;1,"状态冲突","正常"))</x:f>
        <x:v>未选择</x:v>
      </x:c>
    </x:row>
    <x:row r="70" ht="22" customHeight="1">
      <x:c r="A70" s="38"/>
      <x:c r="B70" s="39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9"/>
      <x:c r="W70" s="39"/>
      <x:c r="X70" s="38"/>
      <x:c r="Y70" s="38"/>
      <x:c r="Z70" s="38" t="str">
        <x:f>IF(COUNTA(K70:M70)=0,"未选择",IF(COUNTIF(K70:M70,"☑")&gt;1,"状态冲突","正常"))</x:f>
        <x:v>未选择</x:v>
      </x:c>
    </x:row>
    <x:row r="71" ht="22" customHeight="1">
      <x:c r="A71" s="36"/>
      <x:c r="B71" s="40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40"/>
      <x:c r="W71" s="40"/>
      <x:c r="X71" s="36"/>
      <x:c r="Y71" s="36"/>
      <x:c r="Z71" s="36" t="str">
        <x:f>IF(COUNTA(K71:M71)=0,"未选择",IF(COUNTIF(K71:M71,"☑")&gt;1,"状态冲突","正常"))</x:f>
        <x:v>未选择</x:v>
      </x:c>
    </x:row>
    <x:row r="72" ht="22" customHeight="1">
      <x:c r="A72" s="38"/>
      <x:c r="B72" s="39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9"/>
      <x:c r="W72" s="39"/>
      <x:c r="X72" s="38"/>
      <x:c r="Y72" s="38"/>
      <x:c r="Z72" s="38" t="str">
        <x:f>IF(COUNTA(K72:M72)=0,"未选择",IF(COUNTIF(K72:M72,"☑")&gt;1,"状态冲突","正常"))</x:f>
        <x:v>未选择</x:v>
      </x:c>
    </x:row>
    <x:row r="73" ht="22" customHeight="1">
      <x:c r="A73" s="36"/>
      <x:c r="B73" s="40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40"/>
      <x:c r="W73" s="40"/>
      <x:c r="X73" s="36"/>
      <x:c r="Y73" s="36"/>
      <x:c r="Z73" s="36" t="str">
        <x:f>IF(COUNTA(K73:M73)=0,"未选择",IF(COUNTIF(K73:M73,"☑")&gt;1,"状态冲突","正常"))</x:f>
        <x:v>未选择</x:v>
      </x:c>
    </x:row>
    <x:row r="74" ht="22" customHeight="1">
      <x:c r="A74" s="38"/>
      <x:c r="B74" s="39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9"/>
      <x:c r="W74" s="39"/>
      <x:c r="X74" s="38"/>
      <x:c r="Y74" s="38"/>
      <x:c r="Z74" s="38" t="str">
        <x:f>IF(COUNTA(K74:M74)=0,"未选择",IF(COUNTIF(K74:M74,"☑")&gt;1,"状态冲突","正常"))</x:f>
        <x:v>未选择</x:v>
      </x:c>
    </x:row>
    <x:row r="75" ht="22" customHeight="1">
      <x:c r="A75" s="36"/>
      <x:c r="B75" s="40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40"/>
      <x:c r="W75" s="40"/>
      <x:c r="X75" s="36"/>
      <x:c r="Y75" s="36"/>
      <x:c r="Z75" s="36" t="str">
        <x:f>IF(COUNTA(K75:M75)=0,"未选择",IF(COUNTIF(K75:M75,"☑")&gt;1,"状态冲突","正常"))</x:f>
        <x:v>未选择</x:v>
      </x:c>
    </x:row>
    <x:row r="76" ht="22" customHeight="1">
      <x:c r="A76" s="38"/>
      <x:c r="B76" s="39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9"/>
      <x:c r="W76" s="39"/>
      <x:c r="X76" s="38"/>
      <x:c r="Y76" s="38"/>
      <x:c r="Z76" s="38" t="str">
        <x:f>IF(COUNTA(K76:M76)=0,"未选择",IF(COUNTIF(K76:M76,"☑")&gt;1,"状态冲突","正常"))</x:f>
        <x:v>未选择</x:v>
      </x:c>
    </x:row>
    <x:row r="77" ht="22" customHeight="1">
      <x:c r="A77" s="36"/>
      <x:c r="B77" s="40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40"/>
      <x:c r="W77" s="40"/>
      <x:c r="X77" s="36"/>
      <x:c r="Y77" s="36"/>
      <x:c r="Z77" s="36" t="str">
        <x:f>IF(COUNTA(K77:M77)=0,"未选择",IF(COUNTIF(K77:M77,"☑")&gt;1,"状态冲突","正常"))</x:f>
        <x:v>未选择</x:v>
      </x:c>
    </x:row>
    <x:row r="78" ht="22" customHeight="1">
      <x:c r="A78" s="38"/>
      <x:c r="B78" s="39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9"/>
      <x:c r="W78" s="39"/>
      <x:c r="X78" s="38"/>
      <x:c r="Y78" s="38"/>
      <x:c r="Z78" s="38" t="str">
        <x:f>IF(COUNTA(K78:M78)=0,"未选择",IF(COUNTIF(K78:M78,"☑")&gt;1,"状态冲突","正常"))</x:f>
        <x:v>未选择</x:v>
      </x:c>
    </x:row>
    <x:row r="79" ht="22" customHeight="1">
      <x:c r="A79" s="36"/>
      <x:c r="B79" s="40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40"/>
      <x:c r="W79" s="40"/>
      <x:c r="X79" s="36"/>
      <x:c r="Y79" s="36"/>
      <x:c r="Z79" s="36" t="str">
        <x:f>IF(COUNTA(K79:M79)=0,"未选择",IF(COUNTIF(K79:M79,"☑")&gt;1,"状态冲突","正常"))</x:f>
        <x:v>未选择</x:v>
      </x:c>
    </x:row>
    <x:row r="80" ht="22" customHeight="1">
      <x:c r="A80" s="38"/>
      <x:c r="B80" s="39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9"/>
      <x:c r="W80" s="39"/>
      <x:c r="X80" s="38"/>
      <x:c r="Y80" s="38"/>
      <x:c r="Z80" s="38" t="str">
        <x:f>IF(COUNTA(K80:M80)=0,"未选择",IF(COUNTIF(K80:M80,"☑")&gt;1,"状态冲突","正常"))</x:f>
        <x:v>未选择</x:v>
      </x:c>
    </x:row>
    <x:row r="81" ht="22" customHeight="1">
      <x:c r="A81" s="36"/>
      <x:c r="B81" s="40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40"/>
      <x:c r="W81" s="40"/>
      <x:c r="X81" s="36"/>
      <x:c r="Y81" s="36"/>
      <x:c r="Z81" s="36" t="str">
        <x:f>IF(COUNTA(K81:M81)=0,"未选择",IF(COUNTIF(K81:M81,"☑")&gt;1,"状态冲突","正常"))</x:f>
        <x:v>未选择</x:v>
      </x:c>
    </x:row>
    <x:row r="82" ht="22" customHeight="1">
      <x:c r="A82" s="38"/>
      <x:c r="B82" s="39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9"/>
      <x:c r="W82" s="39"/>
      <x:c r="X82" s="38"/>
      <x:c r="Y82" s="38"/>
      <x:c r="Z82" s="38" t="str">
        <x:f>IF(COUNTA(K82:M82)=0,"未选择",IF(COUNTIF(K82:M82,"☑")&gt;1,"状态冲突","正常"))</x:f>
        <x:v>未选择</x:v>
      </x:c>
    </x:row>
    <x:row r="83" ht="22" customHeight="1">
      <x:c r="A83" s="36"/>
      <x:c r="B83" s="40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40"/>
      <x:c r="W83" s="40"/>
      <x:c r="X83" s="36"/>
      <x:c r="Y83" s="36"/>
      <x:c r="Z83" s="36" t="str">
        <x:f>IF(COUNTA(K83:M83)=0,"未选择",IF(COUNTIF(K83:M83,"☑")&gt;1,"状态冲突","正常"))</x:f>
        <x:v>未选择</x:v>
      </x:c>
    </x:row>
    <x:row r="84" ht="22" customHeight="1">
      <x:c r="A84" s="38"/>
      <x:c r="B84" s="39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9"/>
      <x:c r="W84" s="39"/>
      <x:c r="X84" s="38"/>
      <x:c r="Y84" s="38"/>
      <x:c r="Z84" s="38" t="str">
        <x:f>IF(COUNTA(K84:M84)=0,"未选择",IF(COUNTIF(K84:M84,"☑")&gt;1,"状态冲突","正常"))</x:f>
        <x:v>未选择</x:v>
      </x:c>
    </x:row>
    <x:row r="85" ht="22" customHeight="1">
      <x:c r="A85" s="36"/>
      <x:c r="B85" s="40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40"/>
      <x:c r="W85" s="40"/>
      <x:c r="X85" s="36"/>
      <x:c r="Y85" s="36"/>
      <x:c r="Z85" s="36" t="str">
        <x:f>IF(COUNTA(K85:M85)=0,"未选择",IF(COUNTIF(K85:M85,"☑")&gt;1,"状态冲突","正常"))</x:f>
        <x:v>未选择</x:v>
      </x:c>
    </x:row>
    <x:row r="86" ht="22" customHeight="1">
      <x:c r="A86" s="38"/>
      <x:c r="B86" s="39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9"/>
      <x:c r="W86" s="39"/>
      <x:c r="X86" s="38"/>
      <x:c r="Y86" s="38"/>
      <x:c r="Z86" s="38" t="str">
        <x:f>IF(COUNTA(K86:M86)=0,"未选择",IF(COUNTIF(K86:M86,"☑")&gt;1,"状态冲突","正常"))</x:f>
        <x:v>未选择</x:v>
      </x:c>
    </x:row>
    <x:row r="87" ht="22" customHeight="1">
      <x:c r="A87" s="36"/>
      <x:c r="B87" s="40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40"/>
      <x:c r="W87" s="40"/>
      <x:c r="X87" s="36"/>
      <x:c r="Y87" s="36"/>
      <x:c r="Z87" s="36" t="str">
        <x:f>IF(COUNTA(K87:M87)=0,"未选择",IF(COUNTIF(K87:M87,"☑")&gt;1,"状态冲突","正常"))</x:f>
        <x:v>未选择</x:v>
      </x:c>
    </x:row>
    <x:row r="88" ht="22" customHeight="1">
      <x:c r="A88" s="38"/>
      <x:c r="B88" s="39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9"/>
      <x:c r="W88" s="39"/>
      <x:c r="X88" s="38"/>
      <x:c r="Y88" s="38"/>
      <x:c r="Z88" s="38" t="str">
        <x:f>IF(COUNTA(K88:M88)=0,"未选择",IF(COUNTIF(K88:M88,"☑")&gt;1,"状态冲突","正常"))</x:f>
        <x:v>未选择</x:v>
      </x:c>
    </x:row>
    <x:row r="89" ht="22" customHeight="1">
      <x:c r="A89" s="36"/>
      <x:c r="B89" s="40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40"/>
      <x:c r="W89" s="40"/>
      <x:c r="X89" s="36"/>
      <x:c r="Y89" s="36"/>
      <x:c r="Z89" s="36" t="str">
        <x:f>IF(COUNTA(K89:M89)=0,"未选择",IF(COUNTIF(K89:M89,"☑")&gt;1,"状态冲突","正常"))</x:f>
        <x:v>未选择</x:v>
      </x:c>
    </x:row>
    <x:row r="90" ht="22" customHeight="1">
      <x:c r="A90" s="38"/>
      <x:c r="B90" s="39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9"/>
      <x:c r="W90" s="39"/>
      <x:c r="X90" s="38"/>
      <x:c r="Y90" s="38"/>
      <x:c r="Z90" s="38" t="str">
        <x:f>IF(COUNTA(K90:M90)=0,"未选择",IF(COUNTIF(K90:M90,"☑")&gt;1,"状态冲突","正常"))</x:f>
        <x:v>未选择</x:v>
      </x:c>
    </x:row>
    <x:row r="91" ht="22" customHeight="1">
      <x:c r="A91" s="36"/>
      <x:c r="B91" s="40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40"/>
      <x:c r="W91" s="40"/>
      <x:c r="X91" s="36"/>
      <x:c r="Y91" s="36"/>
      <x:c r="Z91" s="36" t="str">
        <x:f>IF(COUNTA(K91:M91)=0,"未选择",IF(COUNTIF(K91:M91,"☑")&gt;1,"状态冲突","正常"))</x:f>
        <x:v>未选择</x:v>
      </x:c>
    </x:row>
    <x:row r="92" ht="22" customHeight="1">
      <x:c r="A92" s="38"/>
      <x:c r="B92" s="39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9"/>
      <x:c r="W92" s="39"/>
      <x:c r="X92" s="38"/>
      <x:c r="Y92" s="38"/>
      <x:c r="Z92" s="38" t="str">
        <x:f>IF(COUNTA(K92:M92)=0,"未选择",IF(COUNTIF(K92:M92,"☑")&gt;1,"状态冲突","正常"))</x:f>
        <x:v>未选择</x:v>
      </x:c>
    </x:row>
    <x:row r="93" ht="22" customHeight="1">
      <x:c r="A93" s="36"/>
      <x:c r="B93" s="40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40"/>
      <x:c r="W93" s="40"/>
      <x:c r="X93" s="36"/>
      <x:c r="Y93" s="36"/>
      <x:c r="Z93" s="36" t="str">
        <x:f>IF(COUNTA(K93:M93)=0,"未选择",IF(COUNTIF(K93:M93,"☑")&gt;1,"状态冲突","正常"))</x:f>
        <x:v>未选择</x:v>
      </x:c>
    </x:row>
    <x:row r="94" ht="22" customHeight="1">
      <x:c r="A94" s="38"/>
      <x:c r="B94" s="39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9"/>
      <x:c r="W94" s="39"/>
      <x:c r="X94" s="38"/>
      <x:c r="Y94" s="38"/>
      <x:c r="Z94" s="38" t="str">
        <x:f>IF(COUNTA(K94:M94)=0,"未选择",IF(COUNTIF(K94:M94,"☑")&gt;1,"状态冲突","正常"))</x:f>
        <x:v>未选择</x:v>
      </x:c>
    </x:row>
    <x:row r="95" ht="22" customHeight="1">
      <x:c r="A95" s="36"/>
      <x:c r="B95" s="40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40"/>
      <x:c r="W95" s="40"/>
      <x:c r="X95" s="36"/>
      <x:c r="Y95" s="36"/>
      <x:c r="Z95" s="36" t="str">
        <x:f>IF(COUNTA(K95:M95)=0,"未选择",IF(COUNTIF(K95:M95,"☑")&gt;1,"状态冲突","正常"))</x:f>
        <x:v>未选择</x:v>
      </x:c>
    </x:row>
    <x:row r="96" ht="22" customHeight="1">
      <x:c r="A96" s="38"/>
      <x:c r="B96" s="39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9"/>
      <x:c r="W96" s="39"/>
      <x:c r="X96" s="38"/>
      <x:c r="Y96" s="38"/>
      <x:c r="Z96" s="38" t="str">
        <x:f>IF(COUNTA(K96:M96)=0,"未选择",IF(COUNTIF(K96:M96,"☑")&gt;1,"状态冲突","正常"))</x:f>
        <x:v>未选择</x:v>
      </x:c>
    </x:row>
    <x:row r="97" ht="22" customHeight="1">
      <x:c r="A97" s="36"/>
      <x:c r="B97" s="40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40"/>
      <x:c r="W97" s="40"/>
      <x:c r="X97" s="36"/>
      <x:c r="Y97" s="36"/>
      <x:c r="Z97" s="36" t="str">
        <x:f>IF(COUNTA(K97:M97)=0,"未选择",IF(COUNTIF(K97:M97,"☑")&gt;1,"状态冲突","正常"))</x:f>
        <x:v>未选择</x:v>
      </x:c>
    </x:row>
    <x:row r="98" ht="22" customHeight="1">
      <x:c r="A98" s="38"/>
      <x:c r="B98" s="39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9"/>
      <x:c r="W98" s="39"/>
      <x:c r="X98" s="38"/>
      <x:c r="Y98" s="38"/>
      <x:c r="Z98" s="38" t="str">
        <x:f>IF(COUNTA(K98:M98)=0,"未选择",IF(COUNTIF(K98:M98,"☑")&gt;1,"状态冲突","正常"))</x:f>
        <x:v>未选择</x:v>
      </x:c>
    </x:row>
    <x:row r="99" ht="22" customHeight="1">
      <x:c r="A99" s="36"/>
      <x:c r="B99" s="40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40"/>
      <x:c r="W99" s="40"/>
      <x:c r="X99" s="36"/>
      <x:c r="Y99" s="36"/>
      <x:c r="Z99" s="36" t="str">
        <x:f>IF(COUNTA(K99:M99)=0,"未选择",IF(COUNTIF(K99:M99,"☑")&gt;1,"状态冲突","正常"))</x:f>
        <x:v>未选择</x:v>
      </x:c>
    </x:row>
    <x:row r="100" ht="22" customHeight="1">
      <x:c r="A100" s="38"/>
      <x:c r="B100" s="39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9"/>
      <x:c r="W100" s="39"/>
      <x:c r="X100" s="38"/>
      <x:c r="Y100" s="38"/>
      <x:c r="Z100" s="38" t="str">
        <x:f>IF(COUNTA(K100:M100)=0,"未选择",IF(COUNTIF(K100:M100,"☑")&gt;1,"状态冲突","正常"))</x:f>
        <x:v>未选择</x:v>
      </x:c>
    </x:row>
    <x:row r="101" ht="22" customHeight="1">
      <x:c r="A101" s="36"/>
      <x:c r="B101" s="40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40"/>
      <x:c r="W101" s="40"/>
      <x:c r="X101" s="36"/>
      <x:c r="Y101" s="36"/>
      <x:c r="Z101" s="36" t="str">
        <x:f>IF(COUNTA(K101:M101)=0,"未选择",IF(COUNTIF(K101:M101,"☑")&gt;1,"状态冲突","正常"))</x:f>
        <x:v>未选择</x:v>
      </x:c>
    </x:row>
    <x:row r="102" ht="22" customHeight="1">
      <x:c r="A102" s="38"/>
      <x:c r="B102" s="39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9"/>
      <x:c r="W102" s="39"/>
      <x:c r="X102" s="38"/>
      <x:c r="Y102" s="38"/>
      <x:c r="Z102" s="38" t="str">
        <x:f>IF(COUNTA(K102:M102)=0,"未选择",IF(COUNTIF(K102:M102,"☑")&gt;1,"状态冲突","正常"))</x:f>
        <x:v>未选择</x:v>
      </x:c>
    </x:row>
    <x:row r="103" ht="22" customHeight="1">
      <x:c r="A103" s="36"/>
      <x:c r="B103" s="40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40"/>
      <x:c r="W103" s="40"/>
      <x:c r="X103" s="36"/>
      <x:c r="Y103" s="36"/>
      <x:c r="Z103" s="36" t="str">
        <x:f>IF(COUNTA(K103:M103)=0,"未选择",IF(COUNTIF(K103:M103,"☑")&gt;1,"状态冲突","正常"))</x:f>
        <x:v>未选择</x:v>
      </x:c>
    </x:row>
    <x:row r="104" ht="22" customHeight="1">
      <x:c r="A104" s="38"/>
      <x:c r="B104" s="39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9"/>
      <x:c r="W104" s="39"/>
      <x:c r="X104" s="38"/>
      <x:c r="Y104" s="38"/>
      <x:c r="Z104" s="38" t="str">
        <x:f>IF(COUNTA(K104:M104)=0,"未选择",IF(COUNTIF(K104:M104,"☑")&gt;1,"状态冲突","正常"))</x:f>
        <x:v>未选择</x:v>
      </x:c>
    </x:row>
    <x:row r="105" ht="22" customHeight="1">
      <x:c r="A105" s="36"/>
      <x:c r="B105" s="40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40"/>
      <x:c r="W105" s="40"/>
      <x:c r="X105" s="36"/>
      <x:c r="Y105" s="36"/>
      <x:c r="Z105" s="36" t="str">
        <x:f>IF(COUNTA(K105:M105)=0,"未选择",IF(COUNTIF(K105:M105,"☑")&gt;1,"状态冲突","正常"))</x:f>
        <x:v>未选择</x:v>
      </x:c>
    </x:row>
    <x:row r="106" ht="22" customHeight="1">
      <x:c r="A106" s="38"/>
      <x:c r="B106" s="39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9"/>
      <x:c r="W106" s="39"/>
      <x:c r="X106" s="38"/>
      <x:c r="Y106" s="38"/>
      <x:c r="Z106" s="38" t="str">
        <x:f>IF(COUNTA(K106:M106)=0,"未选择",IF(COUNTIF(K106:M106,"☑")&gt;1,"状态冲突","正常"))</x:f>
        <x:v>未选择</x:v>
      </x:c>
    </x:row>
    <x:row r="107" ht="22" customHeight="1">
      <x:c r="A107" s="36"/>
      <x:c r="B107" s="40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40"/>
      <x:c r="W107" s="40"/>
      <x:c r="X107" s="36"/>
      <x:c r="Y107" s="36"/>
      <x:c r="Z107" s="36" t="str">
        <x:f>IF(COUNTA(K107:M107)=0,"未选择",IF(COUNTIF(K107:M107,"☑")&gt;1,"状态冲突","正常"))</x:f>
        <x:v>未选择</x:v>
      </x:c>
    </x:row>
    <x:row r="108" ht="22" customHeight="1">
      <x:c r="A108" s="38"/>
      <x:c r="B108" s="39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9"/>
      <x:c r="W108" s="39"/>
      <x:c r="X108" s="38"/>
      <x:c r="Y108" s="38"/>
      <x:c r="Z108" s="38" t="str">
        <x:f>IF(COUNTA(K108:M108)=0,"未选择",IF(COUNTIF(K108:M108,"☑")&gt;1,"状态冲突","正常"))</x:f>
        <x:v>未选择</x:v>
      </x:c>
    </x:row>
    <x:row r="109" ht="22" customHeight="1">
      <x:c r="A109" s="36"/>
      <x:c r="B109" s="40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40"/>
      <x:c r="W109" s="40"/>
      <x:c r="X109" s="36"/>
      <x:c r="Y109" s="36"/>
      <x:c r="Z109" s="36" t="str">
        <x:f>IF(COUNTA(K109:M109)=0,"未选择",IF(COUNTIF(K109:M109,"☑")&gt;1,"状态冲突","正常"))</x:f>
        <x:v>未选择</x:v>
      </x:c>
    </x:row>
    <x:row r="110" ht="22" customHeight="1">
      <x:c r="A110" s="38"/>
      <x:c r="B110" s="39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9"/>
      <x:c r="W110" s="39"/>
      <x:c r="X110" s="38"/>
      <x:c r="Y110" s="38"/>
      <x:c r="Z110" s="38" t="str">
        <x:f>IF(COUNTA(K110:M110)=0,"未选择",IF(COUNTIF(K110:M110,"☑")&gt;1,"状态冲突","正常"))</x:f>
        <x:v>未选择</x:v>
      </x:c>
    </x:row>
    <x:row r="111" ht="22" customHeight="1">
      <x:c r="A111" s="36"/>
      <x:c r="B111" s="40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40"/>
      <x:c r="W111" s="40"/>
      <x:c r="X111" s="36"/>
      <x:c r="Y111" s="36"/>
      <x:c r="Z111" s="36" t="str">
        <x:f>IF(COUNTA(K111:M111)=0,"未选择",IF(COUNTIF(K111:M111,"☑")&gt;1,"状态冲突","正常"))</x:f>
        <x:v>未选择</x:v>
      </x:c>
    </x:row>
    <x:row r="112" ht="22" customHeight="1">
      <x:c r="A112" s="38"/>
      <x:c r="B112" s="39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9"/>
      <x:c r="W112" s="39"/>
      <x:c r="X112" s="38"/>
      <x:c r="Y112" s="38"/>
      <x:c r="Z112" s="38" t="str">
        <x:f>IF(COUNTA(K112:M112)=0,"未选择",IF(COUNTIF(K112:M112,"☑")&gt;1,"状态冲突","正常"))</x:f>
        <x:v>未选择</x:v>
      </x:c>
    </x:row>
    <x:row r="113" ht="22" customHeight="1">
      <x:c r="A113" s="36"/>
      <x:c r="B113" s="40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40"/>
      <x:c r="W113" s="40"/>
      <x:c r="X113" s="36"/>
      <x:c r="Y113" s="36"/>
      <x:c r="Z113" s="36" t="str">
        <x:f>IF(COUNTA(K113:M113)=0,"未选择",IF(COUNTIF(K113:M113,"☑")&gt;1,"状态冲突","正常"))</x:f>
        <x:v>未选择</x:v>
      </x:c>
    </x:row>
    <x:row r="114" ht="22" customHeight="1">
      <x:c r="A114" s="38"/>
      <x:c r="B114" s="39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9"/>
      <x:c r="W114" s="39"/>
      <x:c r="X114" s="38"/>
      <x:c r="Y114" s="38"/>
      <x:c r="Z114" s="38" t="str">
        <x:f>IF(COUNTA(K114:M114)=0,"未选择",IF(COUNTIF(K114:M114,"☑")&gt;1,"状态冲突","正常"))</x:f>
        <x:v>未选择</x:v>
      </x:c>
    </x:row>
    <x:row r="115" ht="22" customHeight="1">
      <x:c r="A115" s="36"/>
      <x:c r="B115" s="40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40"/>
      <x:c r="W115" s="40"/>
      <x:c r="X115" s="36"/>
      <x:c r="Y115" s="36"/>
      <x:c r="Z115" s="36" t="str">
        <x:f>IF(COUNTA(K115:M115)=0,"未选择",IF(COUNTIF(K115:M115,"☑")&gt;1,"状态冲突","正常"))</x:f>
        <x:v>未选择</x:v>
      </x:c>
    </x:row>
    <x:row r="116" ht="22" customHeight="1">
      <x:c r="A116" s="38"/>
      <x:c r="B116" s="39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9"/>
      <x:c r="W116" s="39"/>
      <x:c r="X116" s="38"/>
      <x:c r="Y116" s="38"/>
      <x:c r="Z116" s="38" t="str">
        <x:f>IF(COUNTA(K116:M116)=0,"未选择",IF(COUNTIF(K116:M116,"☑")&gt;1,"状态冲突","正常"))</x:f>
        <x:v>未选择</x:v>
      </x:c>
    </x:row>
    <x:row r="117" ht="22" customHeight="1">
      <x:c r="A117" s="36"/>
      <x:c r="B117" s="40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40"/>
      <x:c r="W117" s="40"/>
      <x:c r="X117" s="36"/>
      <x:c r="Y117" s="36"/>
      <x:c r="Z117" s="36" t="str">
        <x:f>IF(COUNTA(K117:M117)=0,"未选择",IF(COUNTIF(K117:M117,"☑")&gt;1,"状态冲突","正常"))</x:f>
        <x:v>未选择</x:v>
      </x:c>
    </x:row>
    <x:row r="118" ht="22" customHeight="1">
      <x:c r="A118" s="38"/>
      <x:c r="B118" s="39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9"/>
      <x:c r="W118" s="39"/>
      <x:c r="X118" s="38"/>
      <x:c r="Y118" s="38"/>
      <x:c r="Z118" s="38" t="str">
        <x:f>IF(COUNTA(K118:M118)=0,"未选择",IF(COUNTIF(K118:M118,"☑")&gt;1,"状态冲突","正常"))</x:f>
        <x:v>未选择</x:v>
      </x:c>
    </x:row>
    <x:row r="119" ht="22" customHeight="1">
      <x:c r="A119" s="36"/>
      <x:c r="B119" s="40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40"/>
      <x:c r="W119" s="40"/>
      <x:c r="X119" s="36"/>
      <x:c r="Y119" s="36"/>
      <x:c r="Z119" s="36" t="str">
        <x:f>IF(COUNTA(K119:M119)=0,"未选择",IF(COUNTIF(K119:M119,"☑")&gt;1,"状态冲突","正常"))</x:f>
        <x:v>未选择</x:v>
      </x:c>
    </x:row>
    <x:row r="120" ht="22" customHeight="1">
      <x:c r="A120" s="38"/>
      <x:c r="B120" s="39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9"/>
      <x:c r="W120" s="39"/>
      <x:c r="X120" s="38"/>
      <x:c r="Y120" s="38"/>
      <x:c r="Z120" s="38" t="str">
        <x:f>IF(COUNTA(K120:M120)=0,"未选择",IF(COUNTIF(K120:M120,"☑")&gt;1,"状态冲突","正常"))</x:f>
        <x:v>未选择</x:v>
      </x:c>
    </x:row>
    <x:row r="121" ht="22" customHeight="1">
      <x:c r="A121" s="36"/>
      <x:c r="B121" s="40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40"/>
      <x:c r="W121" s="40"/>
      <x:c r="X121" s="36"/>
      <x:c r="Y121" s="36"/>
      <x:c r="Z121" s="36" t="str">
        <x:f>IF(COUNTA(K121:M121)=0,"未选择",IF(COUNTIF(K121:M121,"☑")&gt;1,"状态冲突","正常"))</x:f>
        <x:v>未选择</x:v>
      </x:c>
    </x:row>
    <x:row r="122" ht="22" customHeight="1">
      <x:c r="A122" s="38"/>
      <x:c r="B122" s="39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9"/>
      <x:c r="W122" s="39"/>
      <x:c r="X122" s="38"/>
      <x:c r="Y122" s="38"/>
      <x:c r="Z122" s="38" t="str">
        <x:f>IF(COUNTA(K122:M122)=0,"未选择",IF(COUNTIF(K122:M122,"☑")&gt;1,"状态冲突","正常"))</x:f>
        <x:v>未选择</x:v>
      </x:c>
    </x:row>
    <x:row r="123" ht="22" customHeight="1">
      <x:c r="A123" s="36"/>
      <x:c r="B123" s="40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40"/>
      <x:c r="W123" s="40"/>
      <x:c r="X123" s="36"/>
      <x:c r="Y123" s="36"/>
      <x:c r="Z123" s="36" t="str">
        <x:f>IF(COUNTA(K123:M123)=0,"未选择",IF(COUNTIF(K123:M123,"☑")&gt;1,"状态冲突","正常"))</x:f>
        <x:v>未选择</x:v>
      </x:c>
    </x:row>
    <x:row r="124" ht="22" customHeight="1">
      <x:c r="A124" s="38"/>
      <x:c r="B124" s="39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9"/>
      <x:c r="W124" s="39"/>
      <x:c r="X124" s="38"/>
      <x:c r="Y124" s="38"/>
      <x:c r="Z124" s="38" t="str">
        <x:f>IF(COUNTA(K124:M124)=0,"未选择",IF(COUNTIF(K124:M124,"☑")&gt;1,"状态冲突","正常"))</x:f>
        <x:v>未选择</x:v>
      </x:c>
    </x:row>
    <x:row r="125" ht="22" customHeight="1">
      <x:c r="A125" s="36"/>
      <x:c r="B125" s="40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40"/>
      <x:c r="W125" s="40"/>
      <x:c r="X125" s="36"/>
      <x:c r="Y125" s="36"/>
      <x:c r="Z125" s="36" t="str">
        <x:f>IF(COUNTA(K125:M125)=0,"未选择",IF(COUNTIF(K125:M125,"☑")&gt;1,"状态冲突","正常"))</x:f>
        <x:v>未选择</x:v>
      </x:c>
    </x:row>
    <x:row r="126" ht="22" customHeight="1">
      <x:c r="A126" s="38"/>
      <x:c r="B126" s="39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9"/>
      <x:c r="W126" s="39"/>
      <x:c r="X126" s="38"/>
      <x:c r="Y126" s="38"/>
      <x:c r="Z126" s="38" t="str">
        <x:f>IF(COUNTA(K126:M126)=0,"未选择",IF(COUNTIF(K126:M126,"☑")&gt;1,"状态冲突","正常"))</x:f>
        <x:v>未选择</x:v>
      </x:c>
    </x:row>
    <x:row r="127" ht="22" customHeight="1">
      <x:c r="A127" s="36"/>
      <x:c r="B127" s="40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40"/>
      <x:c r="W127" s="40"/>
      <x:c r="X127" s="36"/>
      <x:c r="Y127" s="36"/>
      <x:c r="Z127" s="36" t="str">
        <x:f>IF(COUNTA(K127:M127)=0,"未选择",IF(COUNTIF(K127:M127,"☑")&gt;1,"状态冲突","正常"))</x:f>
        <x:v>未选择</x:v>
      </x:c>
    </x:row>
    <x:row r="128" ht="22" customHeight="1">
      <x:c r="A128" s="38"/>
      <x:c r="B128" s="39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9"/>
      <x:c r="W128" s="39"/>
      <x:c r="X128" s="38"/>
      <x:c r="Y128" s="38"/>
      <x:c r="Z128" s="38" t="str">
        <x:f>IF(COUNTA(K128:M128)=0,"未选择",IF(COUNTIF(K128:M128,"☑")&gt;1,"状态冲突","正常"))</x:f>
        <x:v>未选择</x:v>
      </x:c>
    </x:row>
    <x:row r="129" ht="22" customHeight="1">
      <x:c r="A129" s="36"/>
      <x:c r="B129" s="40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40"/>
      <x:c r="W129" s="40"/>
      <x:c r="X129" s="36"/>
      <x:c r="Y129" s="36"/>
      <x:c r="Z129" s="36" t="str">
        <x:f>IF(COUNTA(K129:M129)=0,"未选择",IF(COUNTIF(K129:M129,"☑")&gt;1,"状态冲突","正常"))</x:f>
        <x:v>未选择</x:v>
      </x:c>
    </x:row>
    <x:row r="130" ht="22" customHeight="1">
      <x:c r="A130" s="38"/>
      <x:c r="B130" s="39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9"/>
      <x:c r="W130" s="39"/>
      <x:c r="X130" s="38"/>
      <x:c r="Y130" s="38"/>
      <x:c r="Z130" s="38" t="str">
        <x:f>IF(COUNTA(K130:M130)=0,"未选择",IF(COUNTIF(K130:M130,"☑")&gt;1,"状态冲突","正常"))</x:f>
        <x:v>未选择</x:v>
      </x:c>
    </x:row>
    <x:row r="131" ht="22" customHeight="1">
      <x:c r="A131" s="36"/>
      <x:c r="B131" s="40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40"/>
      <x:c r="W131" s="40"/>
      <x:c r="X131" s="36"/>
      <x:c r="Y131" s="36"/>
      <x:c r="Z131" s="36" t="str">
        <x:f>IF(COUNTA(K131:M131)=0,"未选择",IF(COUNTIF(K131:M131,"☑")&gt;1,"状态冲突","正常"))</x:f>
        <x:v>未选择</x:v>
      </x:c>
    </x:row>
    <x:row r="132" ht="22" customHeight="1">
      <x:c r="A132" s="38"/>
      <x:c r="B132" s="39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9"/>
      <x:c r="W132" s="39"/>
      <x:c r="X132" s="38"/>
      <x:c r="Y132" s="38"/>
      <x:c r="Z132" s="38" t="str">
        <x:f>IF(COUNTA(K132:M132)=0,"未选择",IF(COUNTIF(K132:M132,"☑")&gt;1,"状态冲突","正常"))</x:f>
        <x:v>未选择</x:v>
      </x:c>
    </x:row>
    <x:row r="133" ht="22" customHeight="1">
      <x:c r="A133" s="36"/>
      <x:c r="B133" s="40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40"/>
      <x:c r="W133" s="40"/>
      <x:c r="X133" s="36"/>
      <x:c r="Y133" s="36"/>
      <x:c r="Z133" s="36" t="str">
        <x:f>IF(COUNTA(K133:M133)=0,"未选择",IF(COUNTIF(K133:M133,"☑")&gt;1,"状态冲突","正常"))</x:f>
        <x:v>未选择</x:v>
      </x:c>
    </x:row>
    <x:row r="134" ht="22" customHeight="1">
      <x:c r="A134" s="38"/>
      <x:c r="B134" s="39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9"/>
      <x:c r="W134" s="39"/>
      <x:c r="X134" s="38"/>
      <x:c r="Y134" s="38"/>
      <x:c r="Z134" s="38" t="str">
        <x:f>IF(COUNTA(K134:M134)=0,"未选择",IF(COUNTIF(K134:M134,"☑")&gt;1,"状态冲突","正常"))</x:f>
        <x:v>未选择</x:v>
      </x:c>
    </x:row>
    <x:row r="135" ht="22" customHeight="1">
      <x:c r="A135" s="36"/>
      <x:c r="B135" s="40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40"/>
      <x:c r="W135" s="40"/>
      <x:c r="X135" s="36"/>
      <x:c r="Y135" s="36"/>
      <x:c r="Z135" s="36" t="str">
        <x:f>IF(COUNTA(K135:M135)=0,"未选择",IF(COUNTIF(K135:M135,"☑")&gt;1,"状态冲突","正常"))</x:f>
        <x:v>未选择</x:v>
      </x:c>
    </x:row>
    <x:row r="136" ht="22" customHeight="1">
      <x:c r="A136" s="38"/>
      <x:c r="B136" s="39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9"/>
      <x:c r="W136" s="39"/>
      <x:c r="X136" s="38"/>
      <x:c r="Y136" s="38"/>
      <x:c r="Z136" s="38" t="str">
        <x:f>IF(COUNTA(K136:M136)=0,"未选择",IF(COUNTIF(K136:M136,"☑")&gt;1,"状态冲突","正常"))</x:f>
        <x:v>未选择</x:v>
      </x:c>
    </x:row>
    <x:row r="137" ht="22" customHeight="1">
      <x:c r="A137" s="36"/>
      <x:c r="B137" s="40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40"/>
      <x:c r="W137" s="40"/>
      <x:c r="X137" s="36"/>
      <x:c r="Y137" s="36"/>
      <x:c r="Z137" s="36" t="str">
        <x:f>IF(COUNTA(K137:M137)=0,"未选择",IF(COUNTIF(K137:M137,"☑")&gt;1,"状态冲突","正常"))</x:f>
        <x:v>未选择</x:v>
      </x:c>
    </x:row>
    <x:row r="138" ht="22" customHeight="1">
      <x:c r="A138" s="38"/>
      <x:c r="B138" s="39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9"/>
      <x:c r="W138" s="39"/>
      <x:c r="X138" s="38"/>
      <x:c r="Y138" s="38"/>
      <x:c r="Z138" s="38" t="str">
        <x:f>IF(COUNTA(K138:M138)=0,"未选择",IF(COUNTIF(K138:M138,"☑")&gt;1,"状态冲突","正常"))</x:f>
        <x:v>未选择</x:v>
      </x:c>
    </x:row>
    <x:row r="139" ht="22" customHeight="1">
      <x:c r="A139" s="36"/>
      <x:c r="B139" s="40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40"/>
      <x:c r="W139" s="40"/>
      <x:c r="X139" s="36"/>
      <x:c r="Y139" s="36"/>
      <x:c r="Z139" s="36" t="str">
        <x:f>IF(COUNTA(K139:M139)=0,"未选择",IF(COUNTIF(K139:M139,"☑")&gt;1,"状态冲突","正常"))</x:f>
        <x:v>未选择</x:v>
      </x:c>
    </x:row>
    <x:row r="140" ht="22" customHeight="1">
      <x:c r="A140" s="38"/>
      <x:c r="B140" s="39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9"/>
      <x:c r="W140" s="39"/>
      <x:c r="X140" s="38"/>
      <x:c r="Y140" s="38"/>
      <x:c r="Z140" s="38" t="str">
        <x:f>IF(COUNTA(K140:M140)=0,"未选择",IF(COUNTIF(K140:M140,"☑")&gt;1,"状态冲突","正常"))</x:f>
        <x:v>未选择</x:v>
      </x:c>
    </x:row>
    <x:row r="141" ht="22" customHeight="1">
      <x:c r="A141" s="36"/>
      <x:c r="B141" s="40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40"/>
      <x:c r="W141" s="40"/>
      <x:c r="X141" s="36"/>
      <x:c r="Y141" s="36"/>
      <x:c r="Z141" s="36" t="str">
        <x:f>IF(COUNTA(K141:M141)=0,"未选择",IF(COUNTIF(K141:M141,"☑")&gt;1,"状态冲突","正常"))</x:f>
        <x:v>未选择</x:v>
      </x:c>
    </x:row>
    <x:row r="142" ht="22" customHeight="1">
      <x:c r="A142" s="38"/>
      <x:c r="B142" s="39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9"/>
      <x:c r="W142" s="39"/>
      <x:c r="X142" s="38"/>
      <x:c r="Y142" s="38"/>
      <x:c r="Z142" s="38" t="str">
        <x:f>IF(COUNTA(K142:M142)=0,"未选择",IF(COUNTIF(K142:M142,"☑")&gt;1,"状态冲突","正常"))</x:f>
        <x:v>未选择</x:v>
      </x:c>
    </x:row>
    <x:row r="143" ht="22" customHeight="1">
      <x:c r="A143" s="36"/>
      <x:c r="B143" s="40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40"/>
      <x:c r="W143" s="40"/>
      <x:c r="X143" s="36"/>
      <x:c r="Y143" s="36"/>
      <x:c r="Z143" s="36" t="str">
        <x:f>IF(COUNTA(K143:M143)=0,"未选择",IF(COUNTIF(K143:M143,"☑")&gt;1,"状态冲突","正常"))</x:f>
        <x:v>未选择</x:v>
      </x:c>
    </x:row>
    <x:row r="144" ht="22" customHeight="1">
      <x:c r="A144" s="38"/>
      <x:c r="B144" s="39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9"/>
      <x:c r="W144" s="39"/>
      <x:c r="X144" s="38"/>
      <x:c r="Y144" s="38"/>
      <x:c r="Z144" s="38" t="str">
        <x:f>IF(COUNTA(K144:M144)=0,"未选择",IF(COUNTIF(K144:M144,"☑")&gt;1,"状态冲突","正常"))</x:f>
        <x:v>未选择</x:v>
      </x:c>
    </x:row>
    <x:row r="145" ht="22" customHeight="1">
      <x:c r="A145" s="36"/>
      <x:c r="B145" s="40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40"/>
      <x:c r="W145" s="40"/>
      <x:c r="X145" s="36"/>
      <x:c r="Y145" s="36"/>
      <x:c r="Z145" s="36" t="str">
        <x:f>IF(COUNTA(K145:M145)=0,"未选择",IF(COUNTIF(K145:M145,"☑")&gt;1,"状态冲突","正常"))</x:f>
        <x:v>未选择</x:v>
      </x:c>
    </x:row>
    <x:row r="146" ht="22" customHeight="1">
      <x:c r="A146" s="38"/>
      <x:c r="B146" s="39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9"/>
      <x:c r="W146" s="39"/>
      <x:c r="X146" s="38"/>
      <x:c r="Y146" s="38"/>
      <x:c r="Z146" s="38" t="str">
        <x:f>IF(COUNTA(K146:M146)=0,"未选择",IF(COUNTIF(K146:M146,"☑")&gt;1,"状态冲突","正常"))</x:f>
        <x:v>未选择</x:v>
      </x:c>
    </x:row>
    <x:row r="147" ht="22" customHeight="1">
      <x:c r="A147" s="36"/>
      <x:c r="B147" s="40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40"/>
      <x:c r="W147" s="40"/>
      <x:c r="X147" s="36"/>
      <x:c r="Y147" s="36"/>
      <x:c r="Z147" s="36" t="str">
        <x:f>IF(COUNTA(K147:M147)=0,"未选择",IF(COUNTIF(K147:M147,"☑")&gt;1,"状态冲突","正常"))</x:f>
        <x:v>未选择</x:v>
      </x:c>
    </x:row>
    <x:row r="148" ht="22" customHeight="1">
      <x:c r="A148" s="38"/>
      <x:c r="B148" s="39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9"/>
      <x:c r="W148" s="39"/>
      <x:c r="X148" s="38"/>
      <x:c r="Y148" s="38"/>
      <x:c r="Z148" s="38" t="str">
        <x:f>IF(COUNTA(K148:M148)=0,"未选择",IF(COUNTIF(K148:M148,"☑")&gt;1,"状态冲突","正常"))</x:f>
        <x:v>未选择</x:v>
      </x:c>
    </x:row>
    <x:row r="149" ht="22" customHeight="1">
      <x:c r="A149" s="36"/>
      <x:c r="B149" s="40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40"/>
      <x:c r="W149" s="40"/>
      <x:c r="X149" s="36"/>
      <x:c r="Y149" s="36"/>
      <x:c r="Z149" s="36" t="str">
        <x:f>IF(COUNTA(K149:M149)=0,"未选择",IF(COUNTIF(K149:M149,"☑")&gt;1,"状态冲突","正常"))</x:f>
        <x:v>未选择</x:v>
      </x:c>
    </x:row>
    <x:row r="150" ht="22" customHeight="1">
      <x:c r="A150" s="38"/>
      <x:c r="B150" s="39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9"/>
      <x:c r="W150" s="39"/>
      <x:c r="X150" s="38"/>
      <x:c r="Y150" s="38"/>
      <x:c r="Z150" s="38" t="str">
        <x:f>IF(COUNTA(K150:M150)=0,"未选择",IF(COUNTIF(K150:M150,"☑")&gt;1,"状态冲突","正常"))</x:f>
        <x:v>未选择</x:v>
      </x:c>
    </x:row>
    <x:row r="151" ht="22" customHeight="1">
      <x:c r="A151" s="36"/>
      <x:c r="B151" s="40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40"/>
      <x:c r="W151" s="40"/>
      <x:c r="X151" s="36"/>
      <x:c r="Y151" s="36"/>
      <x:c r="Z151" s="36" t="str">
        <x:f>IF(COUNTA(K151:M151)=0,"未选择",IF(COUNTIF(K151:M151,"☑")&gt;1,"状态冲突","正常"))</x:f>
        <x:v>未选择</x:v>
      </x:c>
    </x:row>
    <x:row r="152" ht="22" customHeight="1">
      <x:c r="A152" s="38"/>
      <x:c r="B152" s="39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9"/>
      <x:c r="W152" s="39"/>
      <x:c r="X152" s="38"/>
      <x:c r="Y152" s="38"/>
      <x:c r="Z152" s="38" t="str">
        <x:f>IF(COUNTA(K152:M152)=0,"未选择",IF(COUNTIF(K152:M152,"☑")&gt;1,"状态冲突","正常"))</x:f>
        <x:v>未选择</x:v>
      </x:c>
    </x:row>
    <x:row r="153" ht="22" customHeight="1">
      <x:c r="A153" s="36"/>
      <x:c r="B153" s="40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40"/>
      <x:c r="W153" s="40"/>
      <x:c r="X153" s="36"/>
      <x:c r="Y153" s="36"/>
      <x:c r="Z153" s="36" t="str">
        <x:f>IF(COUNTA(K153:M153)=0,"未选择",IF(COUNTIF(K153:M153,"☑")&gt;1,"状态冲突","正常"))</x:f>
        <x:v>未选择</x:v>
      </x:c>
    </x:row>
    <x:row r="154" ht="22" customHeight="1">
      <x:c r="A154" s="38"/>
      <x:c r="B154" s="39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9"/>
      <x:c r="W154" s="39"/>
      <x:c r="X154" s="38"/>
      <x:c r="Y154" s="38"/>
      <x:c r="Z154" s="38" t="str">
        <x:f>IF(COUNTA(K154:M154)=0,"未选择",IF(COUNTIF(K154:M154,"☑")&gt;1,"状态冲突","正常"))</x:f>
        <x:v>未选择</x:v>
      </x:c>
    </x:row>
    <x:row r="155" ht="22" customHeight="1">
      <x:c r="A155" s="36"/>
      <x:c r="B155" s="40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40"/>
      <x:c r="W155" s="40"/>
      <x:c r="X155" s="36"/>
      <x:c r="Y155" s="36"/>
      <x:c r="Z155" s="36" t="str">
        <x:f>IF(COUNTA(K155:M155)=0,"未选择",IF(COUNTIF(K155:M155,"☑")&gt;1,"状态冲突","正常"))</x:f>
        <x:v>未选择</x:v>
      </x:c>
    </x:row>
    <x:row r="156" ht="22" customHeight="1">
      <x:c r="A156" s="38"/>
      <x:c r="B156" s="39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9"/>
      <x:c r="W156" s="39"/>
      <x:c r="X156" s="38"/>
      <x:c r="Y156" s="38"/>
      <x:c r="Z156" s="38" t="str">
        <x:f>IF(COUNTA(K156:M156)=0,"未选择",IF(COUNTIF(K156:M156,"☑")&gt;1,"状态冲突","正常"))</x:f>
        <x:v>未选择</x:v>
      </x:c>
    </x:row>
    <x:row r="157" ht="22" customHeight="1">
      <x:c r="A157" s="36"/>
      <x:c r="B157" s="40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40"/>
      <x:c r="W157" s="40"/>
      <x:c r="X157" s="36"/>
      <x:c r="Y157" s="36"/>
      <x:c r="Z157" s="36" t="str">
        <x:f>IF(COUNTA(K157:M157)=0,"未选择",IF(COUNTIF(K157:M157,"☑")&gt;1,"状态冲突","正常"))</x:f>
        <x:v>未选择</x:v>
      </x:c>
    </x:row>
    <x:row r="158" ht="22" customHeight="1">
      <x:c r="A158" s="38"/>
      <x:c r="B158" s="39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9"/>
      <x:c r="W158" s="39"/>
      <x:c r="X158" s="38"/>
      <x:c r="Y158" s="38"/>
      <x:c r="Z158" s="38" t="str">
        <x:f>IF(COUNTA(K158:M158)=0,"未选择",IF(COUNTIF(K158:M158,"☑")&gt;1,"状态冲突","正常"))</x:f>
        <x:v>未选择</x:v>
      </x:c>
    </x:row>
    <x:row r="159" ht="22" customHeight="1">
      <x:c r="A159" s="36"/>
      <x:c r="B159" s="40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40"/>
      <x:c r="W159" s="40"/>
      <x:c r="X159" s="36"/>
      <x:c r="Y159" s="36"/>
      <x:c r="Z159" s="36" t="str">
        <x:f>IF(COUNTA(K159:M159)=0,"未选择",IF(COUNTIF(K159:M159,"☑")&gt;1,"状态冲突","正常"))</x:f>
        <x:v>未选择</x:v>
      </x:c>
    </x:row>
    <x:row r="160" ht="22" customHeight="1">
      <x:c r="A160" s="38"/>
      <x:c r="B160" s="39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9"/>
      <x:c r="W160" s="39"/>
      <x:c r="X160" s="38"/>
      <x:c r="Y160" s="38"/>
      <x:c r="Z160" s="38" t="str">
        <x:f>IF(COUNTA(K160:M160)=0,"未选择",IF(COUNTIF(K160:M160,"☑")&gt;1,"状态冲突","正常"))</x:f>
        <x:v>未选择</x:v>
      </x:c>
    </x:row>
    <x:row r="161" ht="22" customHeight="1">
      <x:c r="A161" s="36"/>
      <x:c r="B161" s="40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40"/>
      <x:c r="W161" s="40"/>
      <x:c r="X161" s="36"/>
      <x:c r="Y161" s="36"/>
      <x:c r="Z161" s="36" t="str">
        <x:f>IF(COUNTA(K161:M161)=0,"未选择",IF(COUNTIF(K161:M161,"☑")&gt;1,"状态冲突","正常"))</x:f>
        <x:v>未选择</x:v>
      </x:c>
    </x:row>
    <x:row r="162" ht="22" customHeight="1">
      <x:c r="A162" s="38"/>
      <x:c r="B162" s="39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9"/>
      <x:c r="W162" s="39"/>
      <x:c r="X162" s="38"/>
      <x:c r="Y162" s="38"/>
      <x:c r="Z162" s="38" t="str">
        <x:f>IF(COUNTA(K162:M162)=0,"未选择",IF(COUNTIF(K162:M162,"☑")&gt;1,"状态冲突","正常"))</x:f>
        <x:v>未选择</x:v>
      </x:c>
    </x:row>
    <x:row r="163" ht="22" customHeight="1">
      <x:c r="A163" s="36"/>
      <x:c r="B163" s="40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40"/>
      <x:c r="W163" s="40"/>
      <x:c r="X163" s="36"/>
      <x:c r="Y163" s="36"/>
      <x:c r="Z163" s="36" t="str">
        <x:f>IF(COUNTA(K163:M163)=0,"未选择",IF(COUNTIF(K163:M163,"☑")&gt;1,"状态冲突","正常"))</x:f>
        <x:v>未选择</x:v>
      </x:c>
    </x:row>
    <x:row r="164" ht="22" customHeight="1">
      <x:c r="A164" s="38"/>
      <x:c r="B164" s="39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9"/>
      <x:c r="W164" s="39"/>
      <x:c r="X164" s="38"/>
      <x:c r="Y164" s="38"/>
      <x:c r="Z164" s="38" t="str">
        <x:f>IF(COUNTA(K164:M164)=0,"未选择",IF(COUNTIF(K164:M164,"☑")&gt;1,"状态冲突","正常"))</x:f>
        <x:v>未选择</x:v>
      </x:c>
    </x:row>
    <x:row r="165" ht="22" customHeight="1">
      <x:c r="A165" s="36"/>
      <x:c r="B165" s="40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40"/>
      <x:c r="W165" s="40"/>
      <x:c r="X165" s="36"/>
      <x:c r="Y165" s="36"/>
      <x:c r="Z165" s="36" t="str">
        <x:f>IF(COUNTA(K165:M165)=0,"未选择",IF(COUNTIF(K165:M165,"☑")&gt;1,"状态冲突","正常"))</x:f>
        <x:v>未选择</x:v>
      </x:c>
    </x:row>
    <x:row r="166" ht="22" customHeight="1">
      <x:c r="A166" s="38"/>
      <x:c r="B166" s="39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9"/>
      <x:c r="W166" s="39"/>
      <x:c r="X166" s="38"/>
      <x:c r="Y166" s="38"/>
      <x:c r="Z166" s="38" t="str">
        <x:f>IF(COUNTA(K166:M166)=0,"未选择",IF(COUNTIF(K166:M166,"☑")&gt;1,"状态冲突","正常"))</x:f>
        <x:v>未选择</x:v>
      </x:c>
    </x:row>
    <x:row r="167" ht="22" customHeight="1">
      <x:c r="A167" s="36"/>
      <x:c r="B167" s="40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40"/>
      <x:c r="W167" s="40"/>
      <x:c r="X167" s="36"/>
      <x:c r="Y167" s="36"/>
      <x:c r="Z167" s="36" t="str">
        <x:f>IF(COUNTA(K167:M167)=0,"未选择",IF(COUNTIF(K167:M167,"☑")&gt;1,"状态冲突","正常"))</x:f>
        <x:v>未选择</x:v>
      </x:c>
    </x:row>
    <x:row r="168" ht="22" customHeight="1">
      <x:c r="A168" s="38"/>
      <x:c r="B168" s="39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9"/>
      <x:c r="W168" s="39"/>
      <x:c r="X168" s="38"/>
      <x:c r="Y168" s="38"/>
      <x:c r="Z168" s="38" t="str">
        <x:f>IF(COUNTA(K168:M168)=0,"未选择",IF(COUNTIF(K168:M168,"☑")&gt;1,"状态冲突","正常"))</x:f>
        <x:v>未选择</x:v>
      </x:c>
    </x:row>
    <x:row r="169" ht="22" customHeight="1">
      <x:c r="A169" s="36"/>
      <x:c r="B169" s="40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40"/>
      <x:c r="W169" s="40"/>
      <x:c r="X169" s="36"/>
      <x:c r="Y169" s="36"/>
      <x:c r="Z169" s="36" t="str">
        <x:f>IF(COUNTA(K169:M169)=0,"未选择",IF(COUNTIF(K169:M169,"☑")&gt;1,"状态冲突","正常"))</x:f>
        <x:v>未选择</x:v>
      </x:c>
    </x:row>
    <x:row r="170" ht="22" customHeight="1">
      <x:c r="A170" s="38"/>
      <x:c r="B170" s="39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9"/>
      <x:c r="W170" s="39"/>
      <x:c r="X170" s="38"/>
      <x:c r="Y170" s="38"/>
      <x:c r="Z170" s="38" t="str">
        <x:f>IF(COUNTA(K170:M170)=0,"未选择",IF(COUNTIF(K170:M170,"☑")&gt;1,"状态冲突","正常"))</x:f>
        <x:v>未选择</x:v>
      </x:c>
    </x:row>
    <x:row r="171" ht="22" customHeight="1">
      <x:c r="A171" s="36"/>
      <x:c r="B171" s="40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40"/>
      <x:c r="W171" s="40"/>
      <x:c r="X171" s="36"/>
      <x:c r="Y171" s="36"/>
      <x:c r="Z171" s="36" t="str">
        <x:f>IF(COUNTA(K171:M171)=0,"未选择",IF(COUNTIF(K171:M171,"☑")&gt;1,"状态冲突","正常"))</x:f>
        <x:v>未选择</x:v>
      </x:c>
    </x:row>
    <x:row r="172" ht="22" customHeight="1">
      <x:c r="A172" s="38"/>
      <x:c r="B172" s="39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9"/>
      <x:c r="W172" s="39"/>
      <x:c r="X172" s="38"/>
      <x:c r="Y172" s="38"/>
      <x:c r="Z172" s="38" t="str">
        <x:f>IF(COUNTA(K172:M172)=0,"未选择",IF(COUNTIF(K172:M172,"☑")&gt;1,"状态冲突","正常"))</x:f>
        <x:v>未选择</x:v>
      </x:c>
    </x:row>
    <x:row r="173" ht="22" customHeight="1">
      <x:c r="A173" s="36"/>
      <x:c r="B173" s="40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40"/>
      <x:c r="W173" s="40"/>
      <x:c r="X173" s="36"/>
      <x:c r="Y173" s="36"/>
      <x:c r="Z173" s="36" t="str">
        <x:f>IF(COUNTA(K173:M173)=0,"未选择",IF(COUNTIF(K173:M173,"☑")&gt;1,"状态冲突","正常"))</x:f>
        <x:v>未选择</x:v>
      </x:c>
    </x:row>
    <x:row r="174" ht="22" customHeight="1">
      <x:c r="A174" s="38"/>
      <x:c r="B174" s="39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9"/>
      <x:c r="W174" s="39"/>
      <x:c r="X174" s="38"/>
      <x:c r="Y174" s="38"/>
      <x:c r="Z174" s="38" t="str">
        <x:f>IF(COUNTA(K174:M174)=0,"未选择",IF(COUNTIF(K174:M174,"☑")&gt;1,"状态冲突","正常"))</x:f>
        <x:v>未选择</x:v>
      </x:c>
    </x:row>
    <x:row r="175" ht="22" customHeight="1">
      <x:c r="A175" s="36"/>
      <x:c r="B175" s="40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40"/>
      <x:c r="W175" s="40"/>
      <x:c r="X175" s="36"/>
      <x:c r="Y175" s="36"/>
      <x:c r="Z175" s="36" t="str">
        <x:f>IF(COUNTA(K175:M175)=0,"未选择",IF(COUNTIF(K175:M175,"☑")&gt;1,"状态冲突","正常"))</x:f>
        <x:v>未选择</x:v>
      </x:c>
    </x:row>
    <x:row r="176" ht="22" customHeight="1">
      <x:c r="A176" s="38"/>
      <x:c r="B176" s="39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9"/>
      <x:c r="W176" s="39"/>
      <x:c r="X176" s="38"/>
      <x:c r="Y176" s="38"/>
      <x:c r="Z176" s="38" t="str">
        <x:f>IF(COUNTA(K176:M176)=0,"未选择",IF(COUNTIF(K176:M176,"☑")&gt;1,"状态冲突","正常"))</x:f>
        <x:v>未选择</x:v>
      </x:c>
    </x:row>
    <x:row r="177" ht="22" customHeight="1">
      <x:c r="A177" s="36"/>
      <x:c r="B177" s="40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40"/>
      <x:c r="W177" s="40"/>
      <x:c r="X177" s="36"/>
      <x:c r="Y177" s="36"/>
      <x:c r="Z177" s="36" t="str">
        <x:f>IF(COUNTA(K177:M177)=0,"未选择",IF(COUNTIF(K177:M177,"☑")&gt;1,"状态冲突","正常"))</x:f>
        <x:v>未选择</x:v>
      </x:c>
    </x:row>
    <x:row r="178" ht="22" customHeight="1">
      <x:c r="A178" s="38"/>
      <x:c r="B178" s="39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9"/>
      <x:c r="W178" s="39"/>
      <x:c r="X178" s="38"/>
      <x:c r="Y178" s="38"/>
      <x:c r="Z178" s="38" t="str">
        <x:f>IF(COUNTA(K178:M178)=0,"未选择",IF(COUNTIF(K178:M178,"☑")&gt;1,"状态冲突","正常"))</x:f>
        <x:v>未选择</x:v>
      </x:c>
    </x:row>
    <x:row r="179" ht="22" customHeight="1">
      <x:c r="A179" s="36"/>
      <x:c r="B179" s="40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40"/>
      <x:c r="W179" s="40"/>
      <x:c r="X179" s="36"/>
      <x:c r="Y179" s="36"/>
      <x:c r="Z179" s="36" t="str">
        <x:f>IF(COUNTA(K179:M179)=0,"未选择",IF(COUNTIF(K179:M179,"☑")&gt;1,"状态冲突","正常"))</x:f>
        <x:v>未选择</x:v>
      </x:c>
    </x:row>
    <x:row r="180" ht="22" customHeight="1">
      <x:c r="A180" s="38"/>
      <x:c r="B180" s="39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9"/>
      <x:c r="W180" s="39"/>
      <x:c r="X180" s="38"/>
      <x:c r="Y180" s="38"/>
      <x:c r="Z180" s="38" t="str">
        <x:f>IF(COUNTA(K180:M180)=0,"未选择",IF(COUNTIF(K180:M180,"☑")&gt;1,"状态冲突","正常"))</x:f>
        <x:v>未选择</x:v>
      </x:c>
    </x:row>
    <x:row r="181" ht="22" customHeight="1">
      <x:c r="A181" s="36"/>
      <x:c r="B181" s="40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40"/>
      <x:c r="W181" s="40"/>
      <x:c r="X181" s="36"/>
      <x:c r="Y181" s="36"/>
      <x:c r="Z181" s="36" t="str">
        <x:f>IF(COUNTA(K181:M181)=0,"未选择",IF(COUNTIF(K181:M181,"☑")&gt;1,"状态冲突","正常"))</x:f>
        <x:v>未选择</x:v>
      </x:c>
    </x:row>
    <x:row r="182" ht="22" customHeight="1">
      <x:c r="A182" s="38"/>
      <x:c r="B182" s="39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9"/>
      <x:c r="W182" s="39"/>
      <x:c r="X182" s="38"/>
      <x:c r="Y182" s="38"/>
      <x:c r="Z182" s="38" t="str">
        <x:f>IF(COUNTA(K182:M182)=0,"未选择",IF(COUNTIF(K182:M182,"☑")&gt;1,"状态冲突","正常"))</x:f>
        <x:v>未选择</x:v>
      </x:c>
    </x:row>
    <x:row r="183" ht="22" customHeight="1">
      <x:c r="A183" s="36"/>
      <x:c r="B183" s="40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40"/>
      <x:c r="W183" s="40"/>
      <x:c r="X183" s="36"/>
      <x:c r="Y183" s="36"/>
      <x:c r="Z183" s="36" t="str">
        <x:f>IF(COUNTA(K183:M183)=0,"未选择",IF(COUNTIF(K183:M183,"☑")&gt;1,"状态冲突","正常"))</x:f>
        <x:v>未选择</x:v>
      </x:c>
    </x:row>
    <x:row r="184" ht="22" customHeight="1">
      <x:c r="A184" s="38"/>
      <x:c r="B184" s="39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9"/>
      <x:c r="W184" s="39"/>
      <x:c r="X184" s="38"/>
      <x:c r="Y184" s="38"/>
      <x:c r="Z184" s="38" t="str">
        <x:f>IF(COUNTA(K184:M184)=0,"未选择",IF(COUNTIF(K184:M184,"☑")&gt;1,"状态冲突","正常"))</x:f>
        <x:v>未选择</x:v>
      </x:c>
    </x:row>
    <x:row r="185" ht="22" customHeight="1">
      <x:c r="A185" s="36"/>
      <x:c r="B185" s="40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40"/>
      <x:c r="W185" s="40"/>
      <x:c r="X185" s="36"/>
      <x:c r="Y185" s="36"/>
      <x:c r="Z185" s="36" t="str">
        <x:f>IF(COUNTA(K185:M185)=0,"未选择",IF(COUNTIF(K185:M185,"☑")&gt;1,"状态冲突","正常"))</x:f>
        <x:v>未选择</x:v>
      </x:c>
    </x:row>
    <x:row r="186" ht="22" customHeight="1">
      <x:c r="A186" s="38"/>
      <x:c r="B186" s="39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9"/>
      <x:c r="W186" s="39"/>
      <x:c r="X186" s="38"/>
      <x:c r="Y186" s="38"/>
      <x:c r="Z186" s="38" t="str">
        <x:f>IF(COUNTA(K186:M186)=0,"未选择",IF(COUNTIF(K186:M186,"☑")&gt;1,"状态冲突","正常"))</x:f>
        <x:v>未选择</x:v>
      </x:c>
    </x:row>
    <x:row r="187" ht="22" customHeight="1">
      <x:c r="A187" s="36"/>
      <x:c r="B187" s="40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40"/>
      <x:c r="W187" s="40"/>
      <x:c r="X187" s="36"/>
      <x:c r="Y187" s="36"/>
      <x:c r="Z187" s="36" t="str">
        <x:f>IF(COUNTA(K187:M187)=0,"未选择",IF(COUNTIF(K187:M187,"☑")&gt;1,"状态冲突","正常"))</x:f>
        <x:v>未选择</x:v>
      </x:c>
    </x:row>
    <x:row r="188" ht="22" customHeight="1">
      <x:c r="A188" s="38"/>
      <x:c r="B188" s="39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9"/>
      <x:c r="W188" s="39"/>
      <x:c r="X188" s="38"/>
      <x:c r="Y188" s="38"/>
      <x:c r="Z188" s="38" t="str">
        <x:f>IF(COUNTA(K188:M188)=0,"未选择",IF(COUNTIF(K188:M188,"☑")&gt;1,"状态冲突","正常"))</x:f>
        <x:v>未选择</x:v>
      </x:c>
    </x:row>
    <x:row r="189" ht="22" customHeight="1">
      <x:c r="A189" s="36"/>
      <x:c r="B189" s="40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40"/>
      <x:c r="W189" s="40"/>
      <x:c r="X189" s="36"/>
      <x:c r="Y189" s="36"/>
      <x:c r="Z189" s="36" t="str">
        <x:f>IF(COUNTA(K189:M189)=0,"未选择",IF(COUNTIF(K189:M189,"☑")&gt;1,"状态冲突","正常"))</x:f>
        <x:v>未选择</x:v>
      </x:c>
    </x:row>
    <x:row r="190" ht="22" customHeight="1">
      <x:c r="A190" s="38"/>
      <x:c r="B190" s="39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9"/>
      <x:c r="W190" s="39"/>
      <x:c r="X190" s="38"/>
      <x:c r="Y190" s="38"/>
      <x:c r="Z190" s="38" t="str">
        <x:f>IF(COUNTA(K190:M190)=0,"未选择",IF(COUNTIF(K190:M190,"☑")&gt;1,"状态冲突","正常"))</x:f>
        <x:v>未选择</x:v>
      </x:c>
    </x:row>
    <x:row r="191" ht="22" customHeight="1">
      <x:c r="A191" s="36"/>
      <x:c r="B191" s="40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40"/>
      <x:c r="W191" s="40"/>
      <x:c r="X191" s="36"/>
      <x:c r="Y191" s="36"/>
      <x:c r="Z191" s="36" t="str">
        <x:f>IF(COUNTA(K191:M191)=0,"未选择",IF(COUNTIF(K191:M191,"☑")&gt;1,"状态冲突","正常"))</x:f>
        <x:v>未选择</x:v>
      </x:c>
    </x:row>
    <x:row r="192" ht="22" customHeight="1">
      <x:c r="A192" s="38"/>
      <x:c r="B192" s="39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9"/>
      <x:c r="W192" s="39"/>
      <x:c r="X192" s="38"/>
      <x:c r="Y192" s="38"/>
      <x:c r="Z192" s="38" t="str">
        <x:f>IF(COUNTA(K192:M192)=0,"未选择",IF(COUNTIF(K192:M192,"☑")&gt;1,"状态冲突","正常"))</x:f>
        <x:v>未选择</x:v>
      </x:c>
    </x:row>
    <x:row r="193" ht="22" customHeight="1">
      <x:c r="A193" s="36"/>
      <x:c r="B193" s="40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40"/>
      <x:c r="W193" s="40"/>
      <x:c r="X193" s="36"/>
      <x:c r="Y193" s="36"/>
      <x:c r="Z193" s="36" t="str">
        <x:f>IF(COUNTA(K193:M193)=0,"未选择",IF(COUNTIF(K193:M193,"☑")&gt;1,"状态冲突","正常"))</x:f>
        <x:v>未选择</x:v>
      </x:c>
    </x:row>
    <x:row r="194" ht="22" customHeight="1">
      <x:c r="A194" s="38"/>
      <x:c r="B194" s="39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9"/>
      <x:c r="W194" s="39"/>
      <x:c r="X194" s="38"/>
      <x:c r="Y194" s="38"/>
      <x:c r="Z194" s="38" t="str">
        <x:f>IF(COUNTA(K194:M194)=0,"未选择",IF(COUNTIF(K194:M194,"☑")&gt;1,"状态冲突","正常"))</x:f>
        <x:v>未选择</x:v>
      </x:c>
    </x:row>
    <x:row r="195" ht="22" customHeight="1">
      <x:c r="A195" s="36"/>
      <x:c r="B195" s="40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40"/>
      <x:c r="W195" s="40"/>
      <x:c r="X195" s="36"/>
      <x:c r="Y195" s="36"/>
      <x:c r="Z195" s="36" t="str">
        <x:f>IF(COUNTA(K195:M195)=0,"未选择",IF(COUNTIF(K195:M195,"☑")&gt;1,"状态冲突","正常"))</x:f>
        <x:v>未选择</x:v>
      </x:c>
    </x:row>
    <x:row r="196" ht="22" customHeight="1">
      <x:c r="A196" s="38"/>
      <x:c r="B196" s="39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9"/>
      <x:c r="W196" s="39"/>
      <x:c r="X196" s="38"/>
      <x:c r="Y196" s="38"/>
      <x:c r="Z196" s="38" t="str">
        <x:f>IF(COUNTA(K196:M196)=0,"未选择",IF(COUNTIF(K196:M196,"☑")&gt;1,"状态冲突","正常"))</x:f>
        <x:v>未选择</x:v>
      </x:c>
    </x:row>
    <x:row r="197" ht="22" customHeight="1">
      <x:c r="A197" s="36"/>
      <x:c r="B197" s="40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40"/>
      <x:c r="W197" s="40"/>
      <x:c r="X197" s="36"/>
      <x:c r="Y197" s="36"/>
      <x:c r="Z197" s="36" t="str">
        <x:f>IF(COUNTA(K197:M197)=0,"未选择",IF(COUNTIF(K197:M197,"☑")&gt;1,"状态冲突","正常"))</x:f>
        <x:v>未选择</x:v>
      </x:c>
    </x:row>
    <x:row r="198" ht="22" customHeight="1">
      <x:c r="A198" s="38"/>
      <x:c r="B198" s="39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9"/>
      <x:c r="W198" s="39"/>
      <x:c r="X198" s="38"/>
      <x:c r="Y198" s="38"/>
      <x:c r="Z198" s="38" t="str">
        <x:f>IF(COUNTA(K198:M198)=0,"未选择",IF(COUNTIF(K198:M198,"☑")&gt;1,"状态冲突","正常"))</x:f>
        <x:v>未选择</x:v>
      </x:c>
    </x:row>
    <x:row r="199" ht="22" customHeight="1">
      <x:c r="A199" s="36"/>
      <x:c r="B199" s="40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40"/>
      <x:c r="W199" s="40"/>
      <x:c r="X199" s="36"/>
      <x:c r="Y199" s="36"/>
      <x:c r="Z199" s="36" t="str">
        <x:f>IF(COUNTA(K199:M199)=0,"未选择",IF(COUNTIF(K199:M199,"☑")&gt;1,"状态冲突","正常"))</x:f>
        <x:v>未选择</x:v>
      </x:c>
    </x:row>
    <x:row r="200" ht="22" customHeight="1">
      <x:c r="A200" s="38"/>
      <x:c r="B200" s="39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9"/>
      <x:c r="W200" s="39"/>
      <x:c r="X200" s="38"/>
      <x:c r="Y200" s="38"/>
      <x:c r="Z200" s="38" t="str">
        <x:f>IF(COUNTA(K200:M200)=0,"未选择",IF(COUNTIF(K200:M200,"☑")&gt;1,"状态冲突","正常"))</x:f>
        <x:v>未选择</x:v>
      </x:c>
    </x:row>
    <x:row r="201" ht="22" customHeight="1">
      <x:c r="A201" s="36"/>
      <x:c r="B201" s="40"/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36"/>
      <x:c r="T201" s="36"/>
      <x:c r="U201" s="36"/>
      <x:c r="V201" s="40"/>
      <x:c r="W201" s="40"/>
      <x:c r="X201" s="36"/>
      <x:c r="Y201" s="36"/>
      <x:c r="Z201" s="36" t="str">
        <x:f>IF(COUNTA(K201:M201)=0,"未选择",IF(COUNTIF(K201:M201,"☑")&gt;1,"状态冲突","正常"))</x:f>
        <x:v>未选择</x:v>
      </x:c>
    </x:row>
    <x:row r="202" ht="22" customHeight="1">
      <x:c r="A202" s="38"/>
      <x:c r="B202" s="39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9"/>
      <x:c r="W202" s="39"/>
      <x:c r="X202" s="38"/>
      <x:c r="Y202" s="38"/>
      <x:c r="Z202" s="38" t="str">
        <x:f>IF(COUNTA(K202:M202)=0,"未选择",IF(COUNTIF(K202:M202,"☑")&gt;1,"状态冲突","正常"))</x:f>
        <x:v>未选择</x:v>
      </x:c>
    </x:row>
    <x:row r="203" ht="22" customHeight="1">
      <x:c r="A203" s="36"/>
      <x:c r="B203" s="40"/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36"/>
      <x:c r="T203" s="36"/>
      <x:c r="U203" s="36"/>
      <x:c r="V203" s="40"/>
      <x:c r="W203" s="40"/>
      <x:c r="X203" s="36"/>
      <x:c r="Y203" s="36"/>
      <x:c r="Z203" s="36" t="str">
        <x:f>IF(COUNTA(K203:M203)=0,"未选择",IF(COUNTIF(K203:M203,"☑")&gt;1,"状态冲突","正常"))</x:f>
        <x:v>未选择</x:v>
      </x:c>
    </x:row>
    <x:row r="204" ht="22" customHeight="1">
      <x:c r="A204" s="38"/>
      <x:c r="B204" s="39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9"/>
      <x:c r="W204" s="39"/>
      <x:c r="X204" s="38"/>
      <x:c r="Y204" s="38"/>
      <x:c r="Z204" s="38" t="str">
        <x:f>IF(COUNTA(K204:M204)=0,"未选择",IF(COUNTIF(K204:M204,"☑")&gt;1,"状态冲突","正常"))</x:f>
        <x:v>未选择</x:v>
      </x:c>
    </x:row>
    <x:row r="205" ht="22" customHeight="1">
      <x:c r="A205" s="37"/>
      <x:c r="B205" s="41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41"/>
      <x:c r="W205" s="41"/>
      <x:c r="X205" s="37"/>
      <x:c r="Y205" s="37"/>
      <x:c r="Z205" s="37" t="str">
        <x:f>IF(COUNTA(K205:M205)=0,"未选择",IF(COUNTIF(K205:M205,"☑")&gt;1,"状态冲突","正常"))</x:f>
        <x:v>未选择</x:v>
      </x:c>
    </x:row>
  </x:sheetData>
  <x:dataValidations count="9">
    <x:dataValidation type="whole" operator="between" sqref="F6:F205">
      <x:formula1>1</x:formula1>
      <x:formula2>5</x:formula2>
    </x:dataValidation>
    <x:dataValidation type="list" sqref="E6:E205">
      <x:formula1>"高,中,低,延伸"</x:formula1>
    </x:dataValidation>
    <x:dataValidation type="list" sqref="H6:H205">
      <x:formula1>"精投,海投,跳过,待用户决定"</x:formula1>
    </x:dataValidation>
    <x:dataValidation type="list" sqref="K6:M205">
      <x:formula1>"☐,☑"</x:formula1>
    </x:dataValidation>
    <x:dataValidation type="list" sqref="N6:N205">
      <x:formula1>"待处理,待用户,材料已准备,投递中,已提交,跳过,受阻,待确认提交结果"</x:formula1>
    </x:dataValidation>
    <x:dataValidation type="list" sqref="Q6:Q205">
      <x:formula1>"有效,失效,未知"</x:formula1>
    </x:dataValidation>
    <x:dataValidation type="list" sqref="R6:R205">
      <x:formula1>"唯一,同一岗位,疑似重复,不同岗位"</x:formula1>
    </x:dataValidation>
    <x:dataValidation type="list" sqref="S6:S205">
      <x:formula1>"PASS,MARGINAL,FAIL,SKIP,未知"</x:formula1>
    </x:dataValidation>
    <x:dataValidation type="list" sqref="X6:X205">
      <x:formula1>"已评估,已投递,已回复,面试,Offer,拒绝,撤回,失效"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c98e59b32d4b6f"/>
  </x:tableParts>
</x:worksheet>
</file>